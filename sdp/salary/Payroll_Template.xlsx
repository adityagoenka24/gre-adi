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Master" sheetId="1" state="visible" r:id="rId3"/>
    <sheet name="Monthly Working Days" sheetId="2" state="visible" r:id="rId4"/>
    <sheet name="Attendance Log" sheetId="3" state="visible" r:id="rId5"/>
    <sheet name="FY Opening Leaves" sheetId="4" state="visible" r:id="rId6"/>
    <sheet name="Monthly Payslip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<sst xmlns="http://schemas.openxmlformats.org/spreadsheetml/2006/main" count="66" uniqueCount="47">
  <si>
    <t xml:space="preserve">S.D. Pharmaceuticals — Employee Master</t>
  </si>
  <si>
    <t xml:space="preserve">Fill in one row per employee. Basic = fixed monthly amount paid in full. Daily Allowance = variable amount paid per day actually present.</t>
  </si>
  <si>
    <t xml:space="preserve">Employee Name</t>
  </si>
  <si>
    <t xml:space="preserve">Basic (Monthly, ₹)</t>
  </si>
  <si>
    <t xml:space="preserve">Daily Allowance (₹/day)</t>
  </si>
  <si>
    <t xml:space="preserve">Notes</t>
  </si>
  <si>
    <t xml:space="preserve">Samir Das</t>
  </si>
  <si>
    <t xml:space="preserve">Sujit Das</t>
  </si>
  <si>
    <t xml:space="preserve">Bishnu Das</t>
  </si>
  <si>
    <t xml:space="preserve">Soumen Roy</t>
  </si>
  <si>
    <t xml:space="preserve">Mangal Bannerjee</t>
  </si>
  <si>
    <t xml:space="preserve">Partha Das</t>
  </si>
  <si>
    <t xml:space="preserve">Joined 1-Jul-2026 (no salary before this)</t>
  </si>
  <si>
    <t xml:space="preserve">Total Working Days per Month</t>
  </si>
  <si>
    <t xml:space="preserve">Enter Month as "Mon-YYYY" (e.g. Jul-2026). Add a new row each month.</t>
  </si>
  <si>
    <t xml:space="preserve">Month</t>
  </si>
  <si>
    <t xml:space="preserve">Total Working Days</t>
  </si>
  <si>
    <t xml:space="preserve">Jul-2026</t>
  </si>
  <si>
    <t xml:space="preserve">Attendance Log — log ONLY the days an employee was ABSENT</t>
  </si>
  <si>
    <t xml:space="preserve">Every working day, add one row per absent employee. Present days are calculated automatically (Working Days − Absences).</t>
  </si>
  <si>
    <t xml:space="preserve">Date</t>
  </si>
  <si>
    <t xml:space="preserve">Month (auto)</t>
  </si>
  <si>
    <t xml:space="preserve">Reason (optional)</t>
  </si>
  <si>
    <t xml:space="preserve">FY Opening Leave Balances</t>
  </si>
  <si>
    <t xml:space="preserve">Leaves already taken BEFORE this tracker started, per employee per FY (Apr-Mar). FY Label = "FY" + year the FY starts (e.g. Apr 2026-Mar 2027 = "FY2026"). Leave at 0 if not applicable; add a new FY block each year if needed.</t>
  </si>
  <si>
    <t xml:space="preserve">FY Label</t>
  </si>
  <si>
    <t xml:space="preserve">Opening Leaves</t>
  </si>
  <si>
    <t xml:space="preserve">FY2026</t>
  </si>
  <si>
    <t xml:space="preserve">Monthly Payslip Summary</t>
  </si>
  <si>
    <t xml:space="preserve">Helper dates (do not edit)</t>
  </si>
  <si>
    <t xml:space="preserve">Month:</t>
  </si>
  <si>
    <t xml:space="preserve">← change this each month, then read the rows below</t>
  </si>
  <si>
    <t xml:space="preserve">Month Start</t>
  </si>
  <si>
    <t xml:space="preserve">Month End</t>
  </si>
  <si>
    <t xml:space="preserve">Basic (₹)</t>
  </si>
  <si>
    <t xml:space="preserve">Days Absent</t>
  </si>
  <si>
    <t xml:space="preserve">Days Present</t>
  </si>
  <si>
    <t xml:space="preserve">Variable Payout (₹)</t>
  </si>
  <si>
    <t xml:space="preserve">FY Leaves Used
Before This Month</t>
  </si>
  <si>
    <t xml:space="preserve">FY Leaves Used
Incl. This Month</t>
  </si>
  <si>
    <t xml:space="preserve">Excess Leaves
(beyond 30/FY)</t>
  </si>
  <si>
    <t xml:space="preserve">Basic Deduction (₹)</t>
  </si>
  <si>
    <t xml:space="preserve">Adjusted Basic (₹)</t>
  </si>
  <si>
    <t xml:space="preserve">Total Payout (₹)</t>
  </si>
  <si>
    <t xml:space="preserve">FY Start</t>
  </si>
  <si>
    <t xml:space="preserve">Prev Month End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</si>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</sst>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dd\-mmm\-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808080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12000</v>
      </c>
      <c r="C5" s="5" t="n">
        <v>525</v>
      </c>
      <c r="D5" s="4"/>
    </row>
    <row r="6" customFormat="false" ht="15" hidden="false" customHeight="false" outlineLevel="0" collapsed="false">
      <c r="A6" s="4" t="s">
        <v>7</v>
      </c>
      <c r="B6" s="5" t="n">
        <v>7000</v>
      </c>
      <c r="C6" s="5" t="n">
        <v>255</v>
      </c>
      <c r="D6" s="4"/>
    </row>
    <row r="7" customFormat="false" ht="15" hidden="false" customHeight="false" outlineLevel="0" collapsed="false">
      <c r="A7" s="4" t="s">
        <v>8</v>
      </c>
      <c r="B7" s="5" t="n">
        <v>5000</v>
      </c>
      <c r="C7" s="5" t="n">
        <v>250</v>
      </c>
      <c r="D7" s="4"/>
    </row>
    <row r="8" customFormat="false" ht="15" hidden="false" customHeight="false" outlineLevel="0" collapsed="false">
      <c r="A8" s="4" t="s">
        <v>9</v>
      </c>
      <c r="B8" s="5" t="n">
        <v>6000</v>
      </c>
      <c r="C8" s="5" t="n">
        <v>270</v>
      </c>
      <c r="D8" s="4"/>
    </row>
    <row r="9" customFormat="false" ht="15" hidden="false" customHeight="false" outlineLevel="0" collapsed="false">
      <c r="A9" s="4" t="s">
        <v>10</v>
      </c>
      <c r="B9" s="5" t="n">
        <v>5000</v>
      </c>
      <c r="C9" s="5" t="n">
        <v>215</v>
      </c>
      <c r="D9" s="4"/>
    </row>
    <row r="10" customFormat="false" ht="15" hidden="false" customHeight="false" outlineLevel="0" collapsed="false">
      <c r="A10" s="4" t="s">
        <v>11</v>
      </c>
      <c r="B10" s="5"/>
      <c r="C10" s="5"/>
      <c r="D10" s="4" t="s">
        <v>12</v>
      </c>
    </row>
    <row r="11" customFormat="false" ht="15" hidden="false" customHeight="false" outlineLevel="0" collapsed="false">
      <c r="A11" s="4"/>
      <c r="B11" s="5"/>
      <c r="C11" s="5"/>
      <c r="D11" s="4"/>
    </row>
    <row r="12" customFormat="false" ht="15" hidden="false" customHeight="false" outlineLevel="0" collapsed="false">
      <c r="A12" s="4"/>
      <c r="B12" s="5"/>
      <c r="C12" s="5"/>
      <c r="D12" s="4"/>
    </row>
    <row r="13" customFormat="false" ht="15" hidden="false" customHeight="false" outlineLevel="0" collapsed="false">
      <c r="A13" s="4"/>
      <c r="B13" s="5"/>
      <c r="C13" s="5"/>
      <c r="D13" s="4"/>
    </row>
    <row r="14" customFormat="false" ht="15" hidden="false" customHeight="false" outlineLevel="0" collapsed="false">
      <c r="A14" s="4"/>
      <c r="B14" s="5"/>
      <c r="C14" s="5"/>
      <c r="D14" s="4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13</v>
      </c>
      <c r="B1" s="1"/>
    </row>
    <row r="2" customFormat="false" ht="15" hidden="false" customHeight="false" outlineLevel="0" collapsed="false">
      <c r="A2" s="2" t="s">
        <v>14</v>
      </c>
      <c r="B2" s="2"/>
      <c r="C2" s="2"/>
    </row>
    <row r="4" customFormat="false" ht="26.85" hidden="false" customHeight="false" outlineLevel="0" collapsed="false">
      <c r="A4" s="3" t="s">
        <v>15</v>
      </c>
      <c r="B4" s="3" t="s">
        <v>16</v>
      </c>
      <c r="C4" s="3" t="s">
        <v>5</v>
      </c>
    </row>
    <row r="5" customFormat="false" ht="15" hidden="false" customHeight="false" outlineLevel="0" collapsed="false">
      <c r="A5" s="4" t="s">
        <v>17</v>
      </c>
      <c r="B5" s="4" t="n">
        <v>26</v>
      </c>
      <c r="C5" s="4"/>
    </row>
    <row r="6" customFormat="false" ht="15" hidden="false" customHeight="false" outlineLevel="0" collapsed="false">
      <c r="A6" s="4"/>
      <c r="B6" s="4"/>
      <c r="C6" s="4"/>
    </row>
    <row r="7" customFormat="false" ht="15" hidden="false" customHeight="false" outlineLevel="0" collapsed="false">
      <c r="A7" s="4"/>
      <c r="B7" s="4"/>
      <c r="C7" s="4"/>
    </row>
    <row r="8" customFormat="false" ht="15" hidden="false" customHeight="false" outlineLevel="0" collapsed="false">
      <c r="A8" s="4"/>
      <c r="B8" s="4"/>
      <c r="C8" s="4"/>
    </row>
    <row r="9" customFormat="false" ht="15" hidden="false" customHeight="false" outlineLevel="0" collapsed="false">
      <c r="A9" s="4"/>
      <c r="B9" s="4"/>
      <c r="C9" s="4"/>
    </row>
    <row r="10" customFormat="false" ht="15" hidden="false" customHeight="false" outlineLevel="0" collapsed="false">
      <c r="A10" s="4"/>
      <c r="B10" s="4"/>
      <c r="C10" s="4"/>
    </row>
    <row r="11" customFormat="false" ht="15" hidden="false" customHeight="false" outlineLevel="0" collapsed="false">
      <c r="A11" s="4"/>
      <c r="B11" s="4"/>
      <c r="C11" s="4"/>
    </row>
    <row r="12" customFormat="false" ht="15" hidden="false" customHeight="false" outlineLevel="0" collapsed="false">
      <c r="A12" s="4"/>
      <c r="B12" s="4"/>
      <c r="C12" s="4"/>
    </row>
    <row r="13" customFormat="false" ht="15" hidden="false" customHeight="false" outlineLevel="0" collapsed="false">
      <c r="A13" s="4"/>
      <c r="B13" s="4"/>
      <c r="C13" s="4"/>
    </row>
    <row r="14" customFormat="false" ht="15" hidden="false" customHeight="false" outlineLevel="0" collapsed="false">
      <c r="A14" s="4"/>
      <c r="B14" s="4"/>
      <c r="C14" s="4"/>
    </row>
    <row r="15" customFormat="false" ht="15" hidden="false" customHeight="false" outlineLevel="0" collapsed="false">
      <c r="A15" s="4"/>
      <c r="B15" s="4"/>
      <c r="C15" s="4"/>
    </row>
    <row r="16" customFormat="false" ht="15" hidden="false" customHeight="false" outlineLevel="0" collapsed="false">
      <c r="A16" s="4"/>
      <c r="B16" s="4"/>
      <c r="C16" s="4"/>
    </row>
    <row r="17" customFormat="false" ht="15" hidden="false" customHeight="false" outlineLevel="0" collapsed="false">
      <c r="A17" s="4"/>
      <c r="B17" s="4"/>
      <c r="C17" s="4"/>
    </row>
    <row r="18" customFormat="false" ht="15" hidden="false" customHeight="false" outlineLevel="0" collapsed="false">
      <c r="A18" s="4"/>
      <c r="B18" s="4"/>
      <c r="C18" s="4"/>
    </row>
    <row r="19" customFormat="false" ht="15" hidden="false" customHeight="false" outlineLevel="0" collapsed="false">
      <c r="A19" s="4"/>
      <c r="B19" s="4"/>
      <c r="C19" s="4"/>
    </row>
    <row r="20" customFormat="false" ht="15" hidden="false" customHeight="false" outlineLevel="0" collapsed="false">
      <c r="A20" s="4"/>
      <c r="B20" s="4"/>
      <c r="C20" s="4"/>
    </row>
    <row r="21" customFormat="false" ht="15" hidden="false" customHeight="false" outlineLevel="0" collapsed="false">
      <c r="A21" s="4"/>
      <c r="B21" s="4"/>
      <c r="C21" s="4"/>
    </row>
    <row r="22" customFormat="false" ht="15" hidden="false" customHeight="false" outlineLevel="0" collapsed="false">
      <c r="A22" s="4"/>
      <c r="B22" s="4"/>
      <c r="C22" s="4"/>
    </row>
    <row r="23" customFormat="false" ht="15" hidden="false" customHeight="false" outlineLevel="0" collapsed="false">
      <c r="A23" s="4"/>
      <c r="B23" s="4"/>
      <c r="C23" s="4"/>
    </row>
    <row r="24" customFormat="false" ht="15" hidden="false" customHeight="false" outlineLevel="0" collapsed="false">
      <c r="A24" s="4"/>
      <c r="B24" s="4"/>
      <c r="C24" s="4"/>
    </row>
  </sheetData>
  <mergeCells count="2">
    <mergeCell ref="A1:B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18</v>
      </c>
      <c r="B1" s="1"/>
      <c r="C1" s="1"/>
      <c r="D1" s="1"/>
    </row>
    <row r="2" customFormat="false" ht="15" hidden="false" customHeight="false" outlineLevel="0" collapsed="false">
      <c r="A2" s="2" t="s">
        <v>19</v>
      </c>
      <c r="B2" s="2"/>
      <c r="C2" s="2"/>
      <c r="D2" s="2"/>
    </row>
    <row r="4" customFormat="false" ht="15" hidden="false" customHeight="false" outlineLevel="0" collapsed="false">
      <c r="A4" s="3" t="s">
        <v>20</v>
      </c>
      <c r="B4" s="3" t="s">
        <v>2</v>
      </c>
      <c r="C4" s="3" t="s">
        <v>21</v>
      </c>
      <c r="D4" s="3" t="s">
        <v>22</v>
      </c>
    </row>
    <row r="5" customFormat="false" ht="15" hidden="false" customHeight="false" outlineLevel="0" collapsed="false">
      <c r="A5" s="6"/>
      <c r="B5" s="4"/>
      <c r="C5" s="7" t="str">
        <f aca="false">IF(A5="","",TEXT(A5,"MMM-YYYY"))</f>
        <v/>
      </c>
      <c r="D5" s="4"/>
    </row>
    <row r="6" customFormat="false" ht="15" hidden="false" customHeight="false" outlineLevel="0" collapsed="false">
      <c r="A6" s="6"/>
      <c r="B6" s="4"/>
      <c r="C6" s="7" t="str">
        <f aca="false">IF(A6="","",TEXT(A6,"MMM-YYYY"))</f>
        <v/>
      </c>
      <c r="D6" s="4"/>
    </row>
    <row r="7" customFormat="false" ht="15" hidden="false" customHeight="false" outlineLevel="0" collapsed="false">
      <c r="A7" s="6"/>
      <c r="B7" s="4"/>
      <c r="C7" s="7" t="str">
        <f aca="false">IF(A7="","",TEXT(A7,"MMM-YYYY"))</f>
        <v/>
      </c>
      <c r="D7" s="4"/>
    </row>
    <row r="8" customFormat="false" ht="15" hidden="false" customHeight="false" outlineLevel="0" collapsed="false">
      <c r="A8" s="6"/>
      <c r="B8" s="4"/>
      <c r="C8" s="7" t="str">
        <f aca="false">IF(A8="","",TEXT(A8,"MMM-YYYY"))</f>
        <v/>
      </c>
      <c r="D8" s="4"/>
    </row>
    <row r="9" customFormat="false" ht="15" hidden="false" customHeight="false" outlineLevel="0" collapsed="false">
      <c r="A9" s="6"/>
      <c r="B9" s="4"/>
      <c r="C9" s="7" t="str">
        <f aca="false">IF(A9="","",TEXT(A9,"MMM-YYYY"))</f>
        <v/>
      </c>
      <c r="D9" s="4"/>
    </row>
    <row r="10" customFormat="false" ht="15" hidden="false" customHeight="false" outlineLevel="0" collapsed="false">
      <c r="A10" s="6"/>
      <c r="B10" s="4"/>
      <c r="C10" s="7" t="str">
        <f aca="false">IF(A10="","",TEXT(A10,"MMM-YYYY"))</f>
        <v/>
      </c>
      <c r="D10" s="4"/>
    </row>
    <row r="11" customFormat="false" ht="15" hidden="false" customHeight="false" outlineLevel="0" collapsed="false">
      <c r="A11" s="6"/>
      <c r="B11" s="4"/>
      <c r="C11" s="7" t="str">
        <f aca="false">IF(A11="","",TEXT(A11,"MMM-YYYY"))</f>
        <v/>
      </c>
      <c r="D11" s="4"/>
    </row>
    <row r="12" customFormat="false" ht="15" hidden="false" customHeight="false" outlineLevel="0" collapsed="false">
      <c r="A12" s="6"/>
      <c r="B12" s="4"/>
      <c r="C12" s="7" t="str">
        <f aca="false">IF(A12="","",TEXT(A12,"MMM-YYYY"))</f>
        <v/>
      </c>
      <c r="D12" s="4"/>
    </row>
    <row r="13" customFormat="false" ht="15" hidden="false" customHeight="false" outlineLevel="0" collapsed="false">
      <c r="A13" s="6"/>
      <c r="B13" s="4"/>
      <c r="C13" s="7" t="str">
        <f aca="false">IF(A13="","",TEXT(A13,"MMM-YYYY"))</f>
        <v/>
      </c>
      <c r="D13" s="4"/>
    </row>
    <row r="14" customFormat="false" ht="15" hidden="false" customHeight="false" outlineLevel="0" collapsed="false">
      <c r="A14" s="6"/>
      <c r="B14" s="4"/>
      <c r="C14" s="7" t="str">
        <f aca="false">IF(A14="","",TEXT(A14,"MMM-YYYY"))</f>
        <v/>
      </c>
      <c r="D14" s="4"/>
    </row>
    <row r="15" customFormat="false" ht="15" hidden="false" customHeight="false" outlineLevel="0" collapsed="false">
      <c r="A15" s="6"/>
      <c r="B15" s="4"/>
      <c r="C15" s="7" t="str">
        <f aca="false">IF(A15="","",TEXT(A15,"MMM-YYYY"))</f>
        <v/>
      </c>
      <c r="D15" s="4"/>
    </row>
    <row r="16" customFormat="false" ht="15" hidden="false" customHeight="false" outlineLevel="0" collapsed="false">
      <c r="A16" s="6"/>
      <c r="B16" s="4"/>
      <c r="C16" s="7" t="str">
        <f aca="false">IF(A16="","",TEXT(A16,"MMM-YYYY"))</f>
        <v/>
      </c>
      <c r="D16" s="4"/>
    </row>
    <row r="17" customFormat="false" ht="15" hidden="false" customHeight="false" outlineLevel="0" collapsed="false">
      <c r="A17" s="6"/>
      <c r="B17" s="4"/>
      <c r="C17" s="7" t="str">
        <f aca="false">IF(A17="","",TEXT(A17,"MMM-YYYY"))</f>
        <v/>
      </c>
      <c r="D17" s="4"/>
    </row>
    <row r="18" customFormat="false" ht="15" hidden="false" customHeight="false" outlineLevel="0" collapsed="false">
      <c r="A18" s="6"/>
      <c r="B18" s="4"/>
      <c r="C18" s="7" t="str">
        <f aca="false">IF(A18="","",TEXT(A18,"MMM-YYYY"))</f>
        <v/>
      </c>
      <c r="D18" s="4"/>
    </row>
    <row r="19" customFormat="false" ht="15" hidden="false" customHeight="false" outlineLevel="0" collapsed="false">
      <c r="A19" s="6"/>
      <c r="B19" s="4"/>
      <c r="C19" s="7" t="str">
        <f aca="false">IF(A19="","",TEXT(A19,"MMM-YYYY"))</f>
        <v/>
      </c>
      <c r="D19" s="4"/>
    </row>
    <row r="20" customFormat="false" ht="15" hidden="false" customHeight="false" outlineLevel="0" collapsed="false">
      <c r="A20" s="6"/>
      <c r="B20" s="4"/>
      <c r="C20" s="7" t="str">
        <f aca="false">IF(A20="","",TEXT(A20,"MMM-YYYY"))</f>
        <v/>
      </c>
      <c r="D20" s="4"/>
    </row>
    <row r="21" customFormat="false" ht="15" hidden="false" customHeight="false" outlineLevel="0" collapsed="false">
      <c r="A21" s="6"/>
      <c r="B21" s="4"/>
      <c r="C21" s="7" t="str">
        <f aca="false">IF(A21="","",TEXT(A21,"MMM-YYYY"))</f>
        <v/>
      </c>
      <c r="D21" s="4"/>
    </row>
    <row r="22" customFormat="false" ht="15" hidden="false" customHeight="false" outlineLevel="0" collapsed="false">
      <c r="A22" s="6"/>
      <c r="B22" s="4"/>
      <c r="C22" s="7" t="str">
        <f aca="false">IF(A22="","",TEXT(A22,"MMM-YYYY"))</f>
        <v/>
      </c>
      <c r="D22" s="4"/>
    </row>
    <row r="23" customFormat="false" ht="15" hidden="false" customHeight="false" outlineLevel="0" collapsed="false">
      <c r="A23" s="6"/>
      <c r="B23" s="4"/>
      <c r="C23" s="7" t="str">
        <f aca="false">IF(A23="","",TEXT(A23,"MMM-YYYY"))</f>
        <v/>
      </c>
      <c r="D23" s="4"/>
    </row>
    <row r="24" customFormat="false" ht="15" hidden="false" customHeight="false" outlineLevel="0" collapsed="false">
      <c r="A24" s="6"/>
      <c r="B24" s="4"/>
      <c r="C24" s="7" t="str">
        <f aca="false">IF(A24="","",TEXT(A24,"MMM-YYYY"))</f>
        <v/>
      </c>
      <c r="D24" s="4"/>
    </row>
    <row r="25" customFormat="false" ht="15" hidden="false" customHeight="false" outlineLevel="0" collapsed="false">
      <c r="A25" s="6"/>
      <c r="B25" s="4"/>
      <c r="C25" s="7" t="str">
        <f aca="false">IF(A25="","",TEXT(A25,"MMM-YYYY"))</f>
        <v/>
      </c>
      <c r="D25" s="4"/>
    </row>
    <row r="26" customFormat="false" ht="15" hidden="false" customHeight="false" outlineLevel="0" collapsed="false">
      <c r="A26" s="6"/>
      <c r="B26" s="4"/>
      <c r="C26" s="7" t="str">
        <f aca="false">IF(A26="","",TEXT(A26,"MMM-YYYY"))</f>
        <v/>
      </c>
      <c r="D26" s="4"/>
    </row>
    <row r="27" customFormat="false" ht="15" hidden="false" customHeight="false" outlineLevel="0" collapsed="false">
      <c r="A27" s="6"/>
      <c r="B27" s="4"/>
      <c r="C27" s="7" t="str">
        <f aca="false">IF(A27="","",TEXT(A27,"MMM-YYYY"))</f>
        <v/>
      </c>
      <c r="D27" s="4"/>
    </row>
    <row r="28" customFormat="false" ht="15" hidden="false" customHeight="false" outlineLevel="0" collapsed="false">
      <c r="A28" s="6"/>
      <c r="B28" s="4"/>
      <c r="C28" s="7" t="str">
        <f aca="false">IF(A28="","",TEXT(A28,"MMM-YYYY"))</f>
        <v/>
      </c>
      <c r="D28" s="4"/>
    </row>
    <row r="29" customFormat="false" ht="15" hidden="false" customHeight="false" outlineLevel="0" collapsed="false">
      <c r="A29" s="6"/>
      <c r="B29" s="4"/>
      <c r="C29" s="7" t="str">
        <f aca="false">IF(A29="","",TEXT(A29,"MMM-YYYY"))</f>
        <v/>
      </c>
      <c r="D29" s="4"/>
    </row>
    <row r="30" customFormat="false" ht="15" hidden="false" customHeight="false" outlineLevel="0" collapsed="false">
      <c r="A30" s="6"/>
      <c r="B30" s="4"/>
      <c r="C30" s="7" t="str">
        <f aca="false">IF(A30="","",TEXT(A30,"MMM-YYYY"))</f>
        <v/>
      </c>
      <c r="D30" s="4"/>
    </row>
    <row r="31" customFormat="false" ht="15" hidden="false" customHeight="false" outlineLevel="0" collapsed="false">
      <c r="A31" s="6"/>
      <c r="B31" s="4"/>
      <c r="C31" s="7" t="str">
        <f aca="false">IF(A31="","",TEXT(A31,"MMM-YYYY"))</f>
        <v/>
      </c>
      <c r="D31" s="4"/>
    </row>
    <row r="32" customFormat="false" ht="15" hidden="false" customHeight="false" outlineLevel="0" collapsed="false">
      <c r="A32" s="6"/>
      <c r="B32" s="4"/>
      <c r="C32" s="7" t="str">
        <f aca="false">IF(A32="","",TEXT(A32,"MMM-YYYY"))</f>
        <v/>
      </c>
      <c r="D32" s="4"/>
    </row>
    <row r="33" customFormat="false" ht="15" hidden="false" customHeight="false" outlineLevel="0" collapsed="false">
      <c r="A33" s="6"/>
      <c r="B33" s="4"/>
      <c r="C33" s="7" t="str">
        <f aca="false">IF(A33="","",TEXT(A33,"MMM-YYYY"))</f>
        <v/>
      </c>
      <c r="D33" s="4"/>
    </row>
    <row r="34" customFormat="false" ht="15" hidden="false" customHeight="false" outlineLevel="0" collapsed="false">
      <c r="A34" s="6"/>
      <c r="B34" s="4"/>
      <c r="C34" s="7" t="str">
        <f aca="false">IF(A34="","",TEXT(A34,"MMM-YYYY"))</f>
        <v/>
      </c>
      <c r="D34" s="4"/>
    </row>
    <row r="35" customFormat="false" ht="15" hidden="false" customHeight="false" outlineLevel="0" collapsed="false">
      <c r="A35" s="6"/>
      <c r="B35" s="4"/>
      <c r="C35" s="7" t="str">
        <f aca="false">IF(A35="","",TEXT(A35,"MMM-YYYY"))</f>
        <v/>
      </c>
      <c r="D35" s="4"/>
    </row>
    <row r="36" customFormat="false" ht="15" hidden="false" customHeight="false" outlineLevel="0" collapsed="false">
      <c r="A36" s="6"/>
      <c r="B36" s="4"/>
      <c r="C36" s="7" t="str">
        <f aca="false">IF(A36="","",TEXT(A36,"MMM-YYYY"))</f>
        <v/>
      </c>
      <c r="D36" s="4"/>
    </row>
    <row r="37" customFormat="false" ht="15" hidden="false" customHeight="false" outlineLevel="0" collapsed="false">
      <c r="A37" s="6"/>
      <c r="B37" s="4"/>
      <c r="C37" s="7" t="str">
        <f aca="false">IF(A37="","",TEXT(A37,"MMM-YYYY"))</f>
        <v/>
      </c>
      <c r="D37" s="4"/>
    </row>
    <row r="38" customFormat="false" ht="15" hidden="false" customHeight="false" outlineLevel="0" collapsed="false">
      <c r="A38" s="6"/>
      <c r="B38" s="4"/>
      <c r="C38" s="7" t="str">
        <f aca="false">IF(A38="","",TEXT(A38,"MMM-YYYY"))</f>
        <v/>
      </c>
      <c r="D38" s="4"/>
    </row>
    <row r="39" customFormat="false" ht="15" hidden="false" customHeight="false" outlineLevel="0" collapsed="false">
      <c r="A39" s="6"/>
      <c r="B39" s="4"/>
      <c r="C39" s="7" t="str">
        <f aca="false">IF(A39="","",TEXT(A39,"MMM-YYYY"))</f>
        <v/>
      </c>
      <c r="D39" s="4"/>
    </row>
    <row r="40" customFormat="false" ht="15" hidden="false" customHeight="false" outlineLevel="0" collapsed="false">
      <c r="A40" s="6"/>
      <c r="B40" s="4"/>
      <c r="C40" s="7" t="str">
        <f aca="false">IF(A40="","",TEXT(A40,"MMM-YYYY"))</f>
        <v/>
      </c>
      <c r="D40" s="4"/>
    </row>
    <row r="41" customFormat="false" ht="15" hidden="false" customHeight="false" outlineLevel="0" collapsed="false">
      <c r="A41" s="6"/>
      <c r="B41" s="4"/>
      <c r="C41" s="7" t="str">
        <f aca="false">IF(A41="","",TEXT(A41,"MMM-YYYY"))</f>
        <v/>
      </c>
      <c r="D41" s="4"/>
    </row>
    <row r="42" customFormat="false" ht="15" hidden="false" customHeight="false" outlineLevel="0" collapsed="false">
      <c r="A42" s="6"/>
      <c r="B42" s="4"/>
      <c r="C42" s="7" t="str">
        <f aca="false">IF(A42="","",TEXT(A42,"MMM-YYYY"))</f>
        <v/>
      </c>
      <c r="D42" s="4"/>
    </row>
    <row r="43" customFormat="false" ht="15" hidden="false" customHeight="false" outlineLevel="0" collapsed="false">
      <c r="A43" s="6"/>
      <c r="B43" s="4"/>
      <c r="C43" s="7" t="str">
        <f aca="false">IF(A43="","",TEXT(A43,"MMM-YYYY"))</f>
        <v/>
      </c>
      <c r="D43" s="4"/>
    </row>
    <row r="44" customFormat="false" ht="15" hidden="false" customHeight="false" outlineLevel="0" collapsed="false">
      <c r="A44" s="6"/>
      <c r="B44" s="4"/>
      <c r="C44" s="7" t="str">
        <f aca="false">IF(A44="","",TEXT(A44,"MMM-YYYY"))</f>
        <v/>
      </c>
      <c r="D44" s="4"/>
    </row>
    <row r="45" customFormat="false" ht="15" hidden="false" customHeight="false" outlineLevel="0" collapsed="false">
      <c r="A45" s="6"/>
      <c r="B45" s="4"/>
      <c r="C45" s="7" t="str">
        <f aca="false">IF(A45="","",TEXT(A45,"MMM-YYYY"))</f>
        <v/>
      </c>
      <c r="D45" s="4"/>
    </row>
    <row r="46" customFormat="false" ht="15" hidden="false" customHeight="false" outlineLevel="0" collapsed="false">
      <c r="A46" s="6"/>
      <c r="B46" s="4"/>
      <c r="C46" s="7" t="str">
        <f aca="false">IF(A46="","",TEXT(A46,"MMM-YYYY"))</f>
        <v/>
      </c>
      <c r="D46" s="4"/>
    </row>
    <row r="47" customFormat="false" ht="15" hidden="false" customHeight="false" outlineLevel="0" collapsed="false">
      <c r="A47" s="6"/>
      <c r="B47" s="4"/>
      <c r="C47" s="7" t="str">
        <f aca="false">IF(A47="","",TEXT(A47,"MMM-YYYY"))</f>
        <v/>
      </c>
      <c r="D47" s="4"/>
    </row>
    <row r="48" customFormat="false" ht="15" hidden="false" customHeight="false" outlineLevel="0" collapsed="false">
      <c r="A48" s="6"/>
      <c r="B48" s="4"/>
      <c r="C48" s="7" t="str">
        <f aca="false">IF(A48="","",TEXT(A48,"MMM-YYYY"))</f>
        <v/>
      </c>
      <c r="D48" s="4"/>
    </row>
    <row r="49" customFormat="false" ht="15" hidden="false" customHeight="false" outlineLevel="0" collapsed="false">
      <c r="A49" s="6"/>
      <c r="B49" s="4"/>
      <c r="C49" s="7" t="str">
        <f aca="false">IF(A49="","",TEXT(A49,"MMM-YYYY"))</f>
        <v/>
      </c>
      <c r="D49" s="4"/>
    </row>
    <row r="50" customFormat="false" ht="15" hidden="false" customHeight="false" outlineLevel="0" collapsed="false">
      <c r="A50" s="6"/>
      <c r="B50" s="4"/>
      <c r="C50" s="7" t="str">
        <f aca="false">IF(A50="","",TEXT(A50,"MMM-YYYY"))</f>
        <v/>
      </c>
      <c r="D50" s="4"/>
    </row>
    <row r="51" customFormat="false" ht="15" hidden="false" customHeight="false" outlineLevel="0" collapsed="false">
      <c r="A51" s="6"/>
      <c r="B51" s="4"/>
      <c r="C51" s="7" t="str">
        <f aca="false">IF(A51="","",TEXT(A51,"MMM-YYYY"))</f>
        <v/>
      </c>
      <c r="D51" s="4"/>
    </row>
    <row r="52" customFormat="false" ht="15" hidden="false" customHeight="false" outlineLevel="0" collapsed="false">
      <c r="A52" s="6"/>
      <c r="B52" s="4"/>
      <c r="C52" s="7" t="str">
        <f aca="false">IF(A52="","",TEXT(A52,"MMM-YYYY"))</f>
        <v/>
      </c>
      <c r="D52" s="4"/>
    </row>
    <row r="53" customFormat="false" ht="15" hidden="false" customHeight="false" outlineLevel="0" collapsed="false">
      <c r="A53" s="6"/>
      <c r="B53" s="4"/>
      <c r="C53" s="7" t="str">
        <f aca="false">IF(A53="","",TEXT(A53,"MMM-YYYY"))</f>
        <v/>
      </c>
      <c r="D53" s="4"/>
    </row>
    <row r="54" customFormat="false" ht="15" hidden="false" customHeight="false" outlineLevel="0" collapsed="false">
      <c r="A54" s="6"/>
      <c r="B54" s="4"/>
      <c r="C54" s="7" t="str">
        <f aca="false">IF(A54="","",TEXT(A54,"MMM-YYYY"))</f>
        <v/>
      </c>
      <c r="D54" s="4"/>
    </row>
    <row r="55" customFormat="false" ht="15" hidden="false" customHeight="false" outlineLevel="0" collapsed="false">
      <c r="A55" s="6"/>
      <c r="B55" s="4"/>
      <c r="C55" s="7" t="str">
        <f aca="false">IF(A55="","",TEXT(A55,"MMM-YYYY"))</f>
        <v/>
      </c>
      <c r="D55" s="4"/>
    </row>
    <row r="56" customFormat="false" ht="15" hidden="false" customHeight="false" outlineLevel="0" collapsed="false">
      <c r="A56" s="6"/>
      <c r="B56" s="4"/>
      <c r="C56" s="7" t="str">
        <f aca="false">IF(A56="","",TEXT(A56,"MMM-YYYY"))</f>
        <v/>
      </c>
      <c r="D56" s="4"/>
    </row>
    <row r="57" customFormat="false" ht="15" hidden="false" customHeight="false" outlineLevel="0" collapsed="false">
      <c r="A57" s="6"/>
      <c r="B57" s="4"/>
      <c r="C57" s="7" t="str">
        <f aca="false">IF(A57="","",TEXT(A57,"MMM-YYYY"))</f>
        <v/>
      </c>
      <c r="D57" s="4"/>
    </row>
    <row r="58" customFormat="false" ht="15" hidden="false" customHeight="false" outlineLevel="0" collapsed="false">
      <c r="A58" s="6"/>
      <c r="B58" s="4"/>
      <c r="C58" s="7" t="str">
        <f aca="false">IF(A58="","",TEXT(A58,"MMM-YYYY"))</f>
        <v/>
      </c>
      <c r="D58" s="4"/>
    </row>
    <row r="59" customFormat="false" ht="15" hidden="false" customHeight="false" outlineLevel="0" collapsed="false">
      <c r="A59" s="6"/>
      <c r="B59" s="4"/>
      <c r="C59" s="7" t="str">
        <f aca="false">IF(A59="","",TEXT(A59,"MMM-YYYY"))</f>
        <v/>
      </c>
      <c r="D59" s="4"/>
    </row>
    <row r="60" customFormat="false" ht="15" hidden="false" customHeight="false" outlineLevel="0" collapsed="false">
      <c r="A60" s="6"/>
      <c r="B60" s="4"/>
      <c r="C60" s="7" t="str">
        <f aca="false">IF(A60="","",TEXT(A60,"MMM-YYYY"))</f>
        <v/>
      </c>
      <c r="D60" s="4"/>
    </row>
    <row r="61" customFormat="false" ht="15" hidden="false" customHeight="false" outlineLevel="0" collapsed="false">
      <c r="A61" s="6"/>
      <c r="B61" s="4"/>
      <c r="C61" s="7" t="str">
        <f aca="false">IF(A61="","",TEXT(A61,"MMM-YYYY"))</f>
        <v/>
      </c>
      <c r="D61" s="4"/>
    </row>
    <row r="62" customFormat="false" ht="15" hidden="false" customHeight="false" outlineLevel="0" collapsed="false">
      <c r="A62" s="6"/>
      <c r="B62" s="4"/>
      <c r="C62" s="7" t="str">
        <f aca="false">IF(A62="","",TEXT(A62,"MMM-YYYY"))</f>
        <v/>
      </c>
      <c r="D62" s="4"/>
    </row>
    <row r="63" customFormat="false" ht="15" hidden="false" customHeight="false" outlineLevel="0" collapsed="false">
      <c r="A63" s="6"/>
      <c r="B63" s="4"/>
      <c r="C63" s="7" t="str">
        <f aca="false">IF(A63="","",TEXT(A63,"MMM-YYYY"))</f>
        <v/>
      </c>
      <c r="D63" s="4"/>
    </row>
    <row r="64" customFormat="false" ht="15" hidden="false" customHeight="false" outlineLevel="0" collapsed="false">
      <c r="A64" s="6"/>
      <c r="B64" s="4"/>
      <c r="C64" s="7" t="str">
        <f aca="false">IF(A64="","",TEXT(A64,"MMM-YYYY"))</f>
        <v/>
      </c>
      <c r="D64" s="4"/>
    </row>
    <row r="65" customFormat="false" ht="15" hidden="false" customHeight="false" outlineLevel="0" collapsed="false">
      <c r="A65" s="6"/>
      <c r="B65" s="4"/>
      <c r="C65" s="7" t="str">
        <f aca="false">IF(A65="","",TEXT(A65,"MMM-YYYY"))</f>
        <v/>
      </c>
      <c r="D65" s="4"/>
    </row>
    <row r="66" customFormat="false" ht="15" hidden="false" customHeight="false" outlineLevel="0" collapsed="false">
      <c r="A66" s="6"/>
      <c r="B66" s="4"/>
      <c r="C66" s="7" t="str">
        <f aca="false">IF(A66="","",TEXT(A66,"MMM-YYYY"))</f>
        <v/>
      </c>
      <c r="D66" s="4"/>
    </row>
    <row r="67" customFormat="false" ht="15" hidden="false" customHeight="false" outlineLevel="0" collapsed="false">
      <c r="A67" s="6"/>
      <c r="B67" s="4"/>
      <c r="C67" s="7" t="str">
        <f aca="false">IF(A67="","",TEXT(A67,"MMM-YYYY"))</f>
        <v/>
      </c>
      <c r="D67" s="4"/>
    </row>
    <row r="68" customFormat="false" ht="15" hidden="false" customHeight="false" outlineLevel="0" collapsed="false">
      <c r="A68" s="6"/>
      <c r="B68" s="4"/>
      <c r="C68" s="7" t="str">
        <f aca="false">IF(A68="","",TEXT(A68,"MMM-YYYY"))</f>
        <v/>
      </c>
      <c r="D68" s="4"/>
    </row>
    <row r="69" customFormat="false" ht="15" hidden="false" customHeight="false" outlineLevel="0" collapsed="false">
      <c r="A69" s="6"/>
      <c r="B69" s="4"/>
      <c r="C69" s="7" t="str">
        <f aca="false">IF(A69="","",TEXT(A69,"MMM-YYYY"))</f>
        <v/>
      </c>
      <c r="D69" s="4"/>
    </row>
    <row r="70" customFormat="false" ht="15" hidden="false" customHeight="false" outlineLevel="0" collapsed="false">
      <c r="A70" s="6"/>
      <c r="B70" s="4"/>
      <c r="C70" s="7" t="str">
        <f aca="false">IF(A70="","",TEXT(A70,"MMM-YYYY"))</f>
        <v/>
      </c>
      <c r="D70" s="4"/>
    </row>
    <row r="71" customFormat="false" ht="15" hidden="false" customHeight="false" outlineLevel="0" collapsed="false">
      <c r="A71" s="6"/>
      <c r="B71" s="4"/>
      <c r="C71" s="7" t="str">
        <f aca="false">IF(A71="","",TEXT(A71,"MMM-YYYY"))</f>
        <v/>
      </c>
      <c r="D71" s="4"/>
    </row>
    <row r="72" customFormat="false" ht="15" hidden="false" customHeight="false" outlineLevel="0" collapsed="false">
      <c r="A72" s="6"/>
      <c r="B72" s="4"/>
      <c r="C72" s="7" t="str">
        <f aca="false">IF(A72="","",TEXT(A72,"MMM-YYYY"))</f>
        <v/>
      </c>
      <c r="D72" s="4"/>
    </row>
    <row r="73" customFormat="false" ht="15" hidden="false" customHeight="false" outlineLevel="0" collapsed="false">
      <c r="A73" s="6"/>
      <c r="B73" s="4"/>
      <c r="C73" s="7" t="str">
        <f aca="false">IF(A73="","",TEXT(A73,"MMM-YYYY"))</f>
        <v/>
      </c>
      <c r="D73" s="4"/>
    </row>
    <row r="74" customFormat="false" ht="15" hidden="false" customHeight="false" outlineLevel="0" collapsed="false">
      <c r="A74" s="6"/>
      <c r="B74" s="4"/>
      <c r="C74" s="7" t="str">
        <f aca="false">IF(A74="","",TEXT(A74,"MMM-YYYY"))</f>
        <v/>
      </c>
      <c r="D74" s="4"/>
    </row>
    <row r="75" customFormat="false" ht="15" hidden="false" customHeight="false" outlineLevel="0" collapsed="false">
      <c r="A75" s="6"/>
      <c r="B75" s="4"/>
      <c r="C75" s="7" t="str">
        <f aca="false">IF(A75="","",TEXT(A75,"MMM-YYYY"))</f>
        <v/>
      </c>
      <c r="D75" s="4"/>
    </row>
    <row r="76" customFormat="false" ht="15" hidden="false" customHeight="false" outlineLevel="0" collapsed="false">
      <c r="A76" s="6"/>
      <c r="B76" s="4"/>
      <c r="C76" s="7" t="str">
        <f aca="false">IF(A76="","",TEXT(A76,"MMM-YYYY"))</f>
        <v/>
      </c>
      <c r="D76" s="4"/>
    </row>
    <row r="77" customFormat="false" ht="15" hidden="false" customHeight="false" outlineLevel="0" collapsed="false">
      <c r="A77" s="6"/>
      <c r="B77" s="4"/>
      <c r="C77" s="7" t="str">
        <f aca="false">IF(A77="","",TEXT(A77,"MMM-YYYY"))</f>
        <v/>
      </c>
      <c r="D77" s="4"/>
    </row>
    <row r="78" customFormat="false" ht="15" hidden="false" customHeight="false" outlineLevel="0" collapsed="false">
      <c r="A78" s="6"/>
      <c r="B78" s="4"/>
      <c r="C78" s="7" t="str">
        <f aca="false">IF(A78="","",TEXT(A78,"MMM-YYYY"))</f>
        <v/>
      </c>
      <c r="D78" s="4"/>
    </row>
    <row r="79" customFormat="false" ht="15" hidden="false" customHeight="false" outlineLevel="0" collapsed="false">
      <c r="A79" s="6"/>
      <c r="B79" s="4"/>
      <c r="C79" s="7" t="str">
        <f aca="false">IF(A79="","",TEXT(A79,"MMM-YYYY"))</f>
        <v/>
      </c>
      <c r="D79" s="4"/>
    </row>
    <row r="80" customFormat="false" ht="15" hidden="false" customHeight="false" outlineLevel="0" collapsed="false">
      <c r="A80" s="6"/>
      <c r="B80" s="4"/>
      <c r="C80" s="7" t="str">
        <f aca="false">IF(A80="","",TEXT(A80,"MMM-YYYY"))</f>
        <v/>
      </c>
      <c r="D80" s="4"/>
    </row>
    <row r="81" customFormat="false" ht="15" hidden="false" customHeight="false" outlineLevel="0" collapsed="false">
      <c r="A81" s="6"/>
      <c r="B81" s="4"/>
      <c r="C81" s="7" t="str">
        <f aca="false">IF(A81="","",TEXT(A81,"MMM-YYYY"))</f>
        <v/>
      </c>
      <c r="D81" s="4"/>
    </row>
    <row r="82" customFormat="false" ht="15" hidden="false" customHeight="false" outlineLevel="0" collapsed="false">
      <c r="A82" s="6"/>
      <c r="B82" s="4"/>
      <c r="C82" s="7" t="str">
        <f aca="false">IF(A82="","",TEXT(A82,"MMM-YYYY"))</f>
        <v/>
      </c>
      <c r="D82" s="4"/>
    </row>
    <row r="83" customFormat="false" ht="15" hidden="false" customHeight="false" outlineLevel="0" collapsed="false">
      <c r="A83" s="6"/>
      <c r="B83" s="4"/>
      <c r="C83" s="7" t="str">
        <f aca="false">IF(A83="","",TEXT(A83,"MMM-YYYY"))</f>
        <v/>
      </c>
      <c r="D83" s="4"/>
    </row>
    <row r="84" customFormat="false" ht="15" hidden="false" customHeight="false" outlineLevel="0" collapsed="false">
      <c r="A84" s="6"/>
      <c r="B84" s="4"/>
      <c r="C84" s="7" t="str">
        <f aca="false">IF(A84="","",TEXT(A84,"MMM-YYYY"))</f>
        <v/>
      </c>
      <c r="D84" s="4"/>
    </row>
    <row r="85" customFormat="false" ht="15" hidden="false" customHeight="false" outlineLevel="0" collapsed="false">
      <c r="A85" s="6"/>
      <c r="B85" s="4"/>
      <c r="C85" s="7" t="str">
        <f aca="false">IF(A85="","",TEXT(A85,"MMM-YYYY"))</f>
        <v/>
      </c>
      <c r="D85" s="4"/>
    </row>
    <row r="86" customFormat="false" ht="15" hidden="false" customHeight="false" outlineLevel="0" collapsed="false">
      <c r="A86" s="6"/>
      <c r="B86" s="4"/>
      <c r="C86" s="7" t="str">
        <f aca="false">IF(A86="","",TEXT(A86,"MMM-YYYY"))</f>
        <v/>
      </c>
      <c r="D86" s="4"/>
    </row>
    <row r="87" customFormat="false" ht="15" hidden="false" customHeight="false" outlineLevel="0" collapsed="false">
      <c r="A87" s="6"/>
      <c r="B87" s="4"/>
      <c r="C87" s="7" t="str">
        <f aca="false">IF(A87="","",TEXT(A87,"MMM-YYYY"))</f>
        <v/>
      </c>
      <c r="D87" s="4"/>
    </row>
    <row r="88" customFormat="false" ht="15" hidden="false" customHeight="false" outlineLevel="0" collapsed="false">
      <c r="A88" s="6"/>
      <c r="B88" s="4"/>
      <c r="C88" s="7" t="str">
        <f aca="false">IF(A88="","",TEXT(A88,"MMM-YYYY"))</f>
        <v/>
      </c>
      <c r="D88" s="4"/>
    </row>
    <row r="89" customFormat="false" ht="15" hidden="false" customHeight="false" outlineLevel="0" collapsed="false">
      <c r="A89" s="6"/>
      <c r="B89" s="4"/>
      <c r="C89" s="7" t="str">
        <f aca="false">IF(A89="","",TEXT(A89,"MMM-YYYY"))</f>
        <v/>
      </c>
      <c r="D89" s="4"/>
    </row>
    <row r="90" customFormat="false" ht="15" hidden="false" customHeight="false" outlineLevel="0" collapsed="false">
      <c r="A90" s="6"/>
      <c r="B90" s="4"/>
      <c r="C90" s="7" t="str">
        <f aca="false">IF(A90="","",TEXT(A90,"MMM-YYYY"))</f>
        <v/>
      </c>
      <c r="D90" s="4"/>
    </row>
    <row r="91" customFormat="false" ht="15" hidden="false" customHeight="false" outlineLevel="0" collapsed="false">
      <c r="A91" s="6"/>
      <c r="B91" s="4"/>
      <c r="C91" s="7" t="str">
        <f aca="false">IF(A91="","",TEXT(A91,"MMM-YYYY"))</f>
        <v/>
      </c>
      <c r="D91" s="4"/>
    </row>
    <row r="92" customFormat="false" ht="15" hidden="false" customHeight="false" outlineLevel="0" collapsed="false">
      <c r="A92" s="6"/>
      <c r="B92" s="4"/>
      <c r="C92" s="7" t="str">
        <f aca="false">IF(A92="","",TEXT(A92,"MMM-YYYY"))</f>
        <v/>
      </c>
      <c r="D92" s="4"/>
    </row>
    <row r="93" customFormat="false" ht="15" hidden="false" customHeight="false" outlineLevel="0" collapsed="false">
      <c r="A93" s="6"/>
      <c r="B93" s="4"/>
      <c r="C93" s="7" t="str">
        <f aca="false">IF(A93="","",TEXT(A93,"MMM-YYYY"))</f>
        <v/>
      </c>
      <c r="D93" s="4"/>
    </row>
    <row r="94" customFormat="false" ht="15" hidden="false" customHeight="false" outlineLevel="0" collapsed="false">
      <c r="A94" s="6"/>
      <c r="B94" s="4"/>
      <c r="C94" s="7" t="str">
        <f aca="false">IF(A94="","",TEXT(A94,"MMM-YYYY"))</f>
        <v/>
      </c>
      <c r="D94" s="4"/>
    </row>
    <row r="95" customFormat="false" ht="15" hidden="false" customHeight="false" outlineLevel="0" collapsed="false">
      <c r="A95" s="6"/>
      <c r="B95" s="4"/>
      <c r="C95" s="7" t="str">
        <f aca="false">IF(A95="","",TEXT(A95,"MMM-YYYY"))</f>
        <v/>
      </c>
      <c r="D95" s="4"/>
    </row>
    <row r="96" customFormat="false" ht="15" hidden="false" customHeight="false" outlineLevel="0" collapsed="false">
      <c r="A96" s="6"/>
      <c r="B96" s="4"/>
      <c r="C96" s="7" t="str">
        <f aca="false">IF(A96="","",TEXT(A96,"MMM-YYYY"))</f>
        <v/>
      </c>
      <c r="D96" s="4"/>
    </row>
    <row r="97" customFormat="false" ht="15" hidden="false" customHeight="false" outlineLevel="0" collapsed="false">
      <c r="A97" s="6"/>
      <c r="B97" s="4"/>
      <c r="C97" s="7" t="str">
        <f aca="false">IF(A97="","",TEXT(A97,"MMM-YYYY"))</f>
        <v/>
      </c>
      <c r="D97" s="4"/>
    </row>
    <row r="98" customFormat="false" ht="15" hidden="false" customHeight="false" outlineLevel="0" collapsed="false">
      <c r="A98" s="6"/>
      <c r="B98" s="4"/>
      <c r="C98" s="7" t="str">
        <f aca="false">IF(A98="","",TEXT(A98,"MMM-YYYY"))</f>
        <v/>
      </c>
      <c r="D98" s="4"/>
    </row>
    <row r="99" customFormat="false" ht="15" hidden="false" customHeight="false" outlineLevel="0" collapsed="false">
      <c r="A99" s="6"/>
      <c r="B99" s="4"/>
      <c r="C99" s="7" t="str">
        <f aca="false">IF(A99="","",TEXT(A99,"MMM-YYYY"))</f>
        <v/>
      </c>
      <c r="D99" s="4"/>
    </row>
    <row r="100" customFormat="false" ht="15" hidden="false" customHeight="false" outlineLevel="0" collapsed="false">
      <c r="A100" s="6"/>
      <c r="B100" s="4"/>
      <c r="C100" s="7" t="str">
        <f aca="false">IF(A100="","",TEXT(A100,"MMM-YYYY"))</f>
        <v/>
      </c>
      <c r="D100" s="4"/>
    </row>
    <row r="101" customFormat="false" ht="15" hidden="false" customHeight="false" outlineLevel="0" collapsed="false">
      <c r="A101" s="6"/>
      <c r="B101" s="4"/>
      <c r="C101" s="7" t="str">
        <f aca="false">IF(A101="","",TEXT(A101,"MMM-YYYY"))</f>
        <v/>
      </c>
      <c r="D101" s="4"/>
    </row>
    <row r="102" customFormat="false" ht="15" hidden="false" customHeight="false" outlineLevel="0" collapsed="false">
      <c r="A102" s="6"/>
      <c r="B102" s="4"/>
      <c r="C102" s="7" t="str">
        <f aca="false">IF(A102="","",TEXT(A102,"MMM-YYYY"))</f>
        <v/>
      </c>
      <c r="D102" s="4"/>
    </row>
    <row r="103" customFormat="false" ht="15" hidden="false" customHeight="false" outlineLevel="0" collapsed="false">
      <c r="A103" s="6"/>
      <c r="B103" s="4"/>
      <c r="C103" s="7" t="str">
        <f aca="false">IF(A103="","",TEXT(A103,"MMM-YYYY"))</f>
        <v/>
      </c>
      <c r="D103" s="4"/>
    </row>
    <row r="104" customFormat="false" ht="15" hidden="false" customHeight="false" outlineLevel="0" collapsed="false">
      <c r="A104" s="6"/>
      <c r="B104" s="4"/>
      <c r="C104" s="7" t="str">
        <f aca="false">IF(A104="","",TEXT(A104,"MMM-YYYY"))</f>
        <v/>
      </c>
      <c r="D104" s="4"/>
    </row>
    <row r="105" customFormat="false" ht="15" hidden="false" customHeight="false" outlineLevel="0" collapsed="false">
      <c r="A105" s="6"/>
      <c r="B105" s="4"/>
      <c r="C105" s="7" t="str">
        <f aca="false">IF(A105="","",TEXT(A105,"MMM-YYYY"))</f>
        <v/>
      </c>
      <c r="D105" s="4"/>
    </row>
    <row r="106" customFormat="false" ht="15" hidden="false" customHeight="false" outlineLevel="0" collapsed="false">
      <c r="A106" s="6"/>
      <c r="B106" s="4"/>
      <c r="C106" s="7" t="str">
        <f aca="false">IF(A106="","",TEXT(A106,"MMM-YYYY"))</f>
        <v/>
      </c>
      <c r="D106" s="4"/>
    </row>
    <row r="107" customFormat="false" ht="15" hidden="false" customHeight="false" outlineLevel="0" collapsed="false">
      <c r="A107" s="6"/>
      <c r="B107" s="4"/>
      <c r="C107" s="7" t="str">
        <f aca="false">IF(A107="","",TEXT(A107,"MMM-YYYY"))</f>
        <v/>
      </c>
      <c r="D107" s="4"/>
    </row>
    <row r="108" customFormat="false" ht="15" hidden="false" customHeight="false" outlineLevel="0" collapsed="false">
      <c r="A108" s="6"/>
      <c r="B108" s="4"/>
      <c r="C108" s="7" t="str">
        <f aca="false">IF(A108="","",TEXT(A108,"MMM-YYYY"))</f>
        <v/>
      </c>
      <c r="D108" s="4"/>
    </row>
    <row r="109" customFormat="false" ht="15" hidden="false" customHeight="false" outlineLevel="0" collapsed="false">
      <c r="A109" s="6"/>
      <c r="B109" s="4"/>
      <c r="C109" s="7" t="str">
        <f aca="false">IF(A109="","",TEXT(A109,"MMM-YYYY"))</f>
        <v/>
      </c>
      <c r="D109" s="4"/>
    </row>
    <row r="110" customFormat="false" ht="15" hidden="false" customHeight="false" outlineLevel="0" collapsed="false">
      <c r="A110" s="6"/>
      <c r="B110" s="4"/>
      <c r="C110" s="7" t="str">
        <f aca="false">IF(A110="","",TEXT(A110,"MMM-YYYY"))</f>
        <v/>
      </c>
      <c r="D110" s="4"/>
    </row>
    <row r="111" customFormat="false" ht="15" hidden="false" customHeight="false" outlineLevel="0" collapsed="false">
      <c r="A111" s="6"/>
      <c r="B111" s="4"/>
      <c r="C111" s="7" t="str">
        <f aca="false">IF(A111="","",TEXT(A111,"MMM-YYYY"))</f>
        <v/>
      </c>
      <c r="D111" s="4"/>
    </row>
    <row r="112" customFormat="false" ht="15" hidden="false" customHeight="false" outlineLevel="0" collapsed="false">
      <c r="A112" s="6"/>
      <c r="B112" s="4"/>
      <c r="C112" s="7" t="str">
        <f aca="false">IF(A112="","",TEXT(A112,"MMM-YYYY"))</f>
        <v/>
      </c>
      <c r="D112" s="4"/>
    </row>
    <row r="113" customFormat="false" ht="15" hidden="false" customHeight="false" outlineLevel="0" collapsed="false">
      <c r="A113" s="6"/>
      <c r="B113" s="4"/>
      <c r="C113" s="7" t="str">
        <f aca="false">IF(A113="","",TEXT(A113,"MMM-YYYY"))</f>
        <v/>
      </c>
      <c r="D113" s="4"/>
    </row>
    <row r="114" customFormat="false" ht="15" hidden="false" customHeight="false" outlineLevel="0" collapsed="false">
      <c r="A114" s="6"/>
      <c r="B114" s="4"/>
      <c r="C114" s="7" t="str">
        <f aca="false">IF(A114="","",TEXT(A114,"MMM-YYYY"))</f>
        <v/>
      </c>
      <c r="D114" s="4"/>
    </row>
    <row r="115" customFormat="false" ht="15" hidden="false" customHeight="false" outlineLevel="0" collapsed="false">
      <c r="A115" s="6"/>
      <c r="B115" s="4"/>
      <c r="C115" s="7" t="str">
        <f aca="false">IF(A115="","",TEXT(A115,"MMM-YYYY"))</f>
        <v/>
      </c>
      <c r="D115" s="4"/>
    </row>
    <row r="116" customFormat="false" ht="15" hidden="false" customHeight="false" outlineLevel="0" collapsed="false">
      <c r="A116" s="6"/>
      <c r="B116" s="4"/>
      <c r="C116" s="7" t="str">
        <f aca="false">IF(A116="","",TEXT(A116,"MMM-YYYY"))</f>
        <v/>
      </c>
      <c r="D116" s="4"/>
    </row>
    <row r="117" customFormat="false" ht="15" hidden="false" customHeight="false" outlineLevel="0" collapsed="false">
      <c r="A117" s="6"/>
      <c r="B117" s="4"/>
      <c r="C117" s="7" t="str">
        <f aca="false">IF(A117="","",TEXT(A117,"MMM-YYYY"))</f>
        <v/>
      </c>
      <c r="D117" s="4"/>
    </row>
    <row r="118" customFormat="false" ht="15" hidden="false" customHeight="false" outlineLevel="0" collapsed="false">
      <c r="A118" s="6"/>
      <c r="B118" s="4"/>
      <c r="C118" s="7" t="str">
        <f aca="false">IF(A118="","",TEXT(A118,"MMM-YYYY"))</f>
        <v/>
      </c>
      <c r="D118" s="4"/>
    </row>
    <row r="119" customFormat="false" ht="15" hidden="false" customHeight="false" outlineLevel="0" collapsed="false">
      <c r="A119" s="6"/>
      <c r="B119" s="4"/>
      <c r="C119" s="7" t="str">
        <f aca="false">IF(A119="","",TEXT(A119,"MMM-YYYY"))</f>
        <v/>
      </c>
      <c r="D119" s="4"/>
    </row>
    <row r="120" customFormat="false" ht="15" hidden="false" customHeight="false" outlineLevel="0" collapsed="false">
      <c r="A120" s="6"/>
      <c r="B120" s="4"/>
      <c r="C120" s="7" t="str">
        <f aca="false">IF(A120="","",TEXT(A120,"MMM-YYYY"))</f>
        <v/>
      </c>
      <c r="D120" s="4"/>
    </row>
    <row r="121" customFormat="false" ht="15" hidden="false" customHeight="false" outlineLevel="0" collapsed="false">
      <c r="A121" s="6"/>
      <c r="B121" s="4"/>
      <c r="C121" s="7" t="str">
        <f aca="false">IF(A121="","",TEXT(A121,"MMM-YYYY"))</f>
        <v/>
      </c>
      <c r="D121" s="4"/>
    </row>
    <row r="122" customFormat="false" ht="15" hidden="false" customHeight="false" outlineLevel="0" collapsed="false">
      <c r="A122" s="6"/>
      <c r="B122" s="4"/>
      <c r="C122" s="7" t="str">
        <f aca="false">IF(A122="","",TEXT(A122,"MMM-YYYY"))</f>
        <v/>
      </c>
      <c r="D122" s="4"/>
    </row>
    <row r="123" customFormat="false" ht="15" hidden="false" customHeight="false" outlineLevel="0" collapsed="false">
      <c r="A123" s="6"/>
      <c r="B123" s="4"/>
      <c r="C123" s="7" t="str">
        <f aca="false">IF(A123="","",TEXT(A123,"MMM-YYYY"))</f>
        <v/>
      </c>
      <c r="D123" s="4"/>
    </row>
    <row r="124" customFormat="false" ht="15" hidden="false" customHeight="false" outlineLevel="0" collapsed="false">
      <c r="A124" s="6"/>
      <c r="B124" s="4"/>
      <c r="C124" s="7" t="str">
        <f aca="false">IF(A124="","",TEXT(A124,"MMM-YYYY"))</f>
        <v/>
      </c>
      <c r="D124" s="4"/>
    </row>
    <row r="125" customFormat="false" ht="15" hidden="false" customHeight="false" outlineLevel="0" collapsed="false">
      <c r="A125" s="6"/>
      <c r="B125" s="4"/>
      <c r="C125" s="7" t="str">
        <f aca="false">IF(A125="","",TEXT(A125,"MMM-YYYY"))</f>
        <v/>
      </c>
      <c r="D125" s="4"/>
    </row>
    <row r="126" customFormat="false" ht="15" hidden="false" customHeight="false" outlineLevel="0" collapsed="false">
      <c r="A126" s="6"/>
      <c r="B126" s="4"/>
      <c r="C126" s="7" t="str">
        <f aca="false">IF(A126="","",TEXT(A126,"MMM-YYYY"))</f>
        <v/>
      </c>
      <c r="D126" s="4"/>
    </row>
    <row r="127" customFormat="false" ht="15" hidden="false" customHeight="false" outlineLevel="0" collapsed="false">
      <c r="A127" s="6"/>
      <c r="B127" s="4"/>
      <c r="C127" s="7" t="str">
        <f aca="false">IF(A127="","",TEXT(A127,"MMM-YYYY"))</f>
        <v/>
      </c>
      <c r="D127" s="4"/>
    </row>
    <row r="128" customFormat="false" ht="15" hidden="false" customHeight="false" outlineLevel="0" collapsed="false">
      <c r="A128" s="6"/>
      <c r="B128" s="4"/>
      <c r="C128" s="7" t="str">
        <f aca="false">IF(A128="","",TEXT(A128,"MMM-YYYY"))</f>
        <v/>
      </c>
      <c r="D128" s="4"/>
    </row>
    <row r="129" customFormat="false" ht="15" hidden="false" customHeight="false" outlineLevel="0" collapsed="false">
      <c r="A129" s="6"/>
      <c r="B129" s="4"/>
      <c r="C129" s="7" t="str">
        <f aca="false">IF(A129="","",TEXT(A129,"MMM-YYYY"))</f>
        <v/>
      </c>
      <c r="D129" s="4"/>
    </row>
    <row r="130" customFormat="false" ht="15" hidden="false" customHeight="false" outlineLevel="0" collapsed="false">
      <c r="A130" s="6"/>
      <c r="B130" s="4"/>
      <c r="C130" s="7" t="str">
        <f aca="false">IF(A130="","",TEXT(A130,"MMM-YYYY"))</f>
        <v/>
      </c>
      <c r="D130" s="4"/>
    </row>
    <row r="131" customFormat="false" ht="15" hidden="false" customHeight="false" outlineLevel="0" collapsed="false">
      <c r="A131" s="6"/>
      <c r="B131" s="4"/>
      <c r="C131" s="7" t="str">
        <f aca="false">IF(A131="","",TEXT(A131,"MMM-YYYY"))</f>
        <v/>
      </c>
      <c r="D131" s="4"/>
    </row>
    <row r="132" customFormat="false" ht="15" hidden="false" customHeight="false" outlineLevel="0" collapsed="false">
      <c r="A132" s="6"/>
      <c r="B132" s="4"/>
      <c r="C132" s="7" t="str">
        <f aca="false">IF(A132="","",TEXT(A132,"MMM-YYYY"))</f>
        <v/>
      </c>
      <c r="D132" s="4"/>
    </row>
    <row r="133" customFormat="false" ht="15" hidden="false" customHeight="false" outlineLevel="0" collapsed="false">
      <c r="A133" s="6"/>
      <c r="B133" s="4"/>
      <c r="C133" s="7" t="str">
        <f aca="false">IF(A133="","",TEXT(A133,"MMM-YYYY"))</f>
        <v/>
      </c>
      <c r="D133" s="4"/>
    </row>
    <row r="134" customFormat="false" ht="15" hidden="false" customHeight="false" outlineLevel="0" collapsed="false">
      <c r="A134" s="6"/>
      <c r="B134" s="4"/>
      <c r="C134" s="7" t="str">
        <f aca="false">IF(A134="","",TEXT(A134,"MMM-YYYY"))</f>
        <v/>
      </c>
      <c r="D134" s="4"/>
    </row>
    <row r="135" customFormat="false" ht="15" hidden="false" customHeight="false" outlineLevel="0" collapsed="false">
      <c r="A135" s="6"/>
      <c r="B135" s="4"/>
      <c r="C135" s="7" t="str">
        <f aca="false">IF(A135="","",TEXT(A135,"MMM-YYYY"))</f>
        <v/>
      </c>
      <c r="D135" s="4"/>
    </row>
    <row r="136" customFormat="false" ht="15" hidden="false" customHeight="false" outlineLevel="0" collapsed="false">
      <c r="A136" s="6"/>
      <c r="B136" s="4"/>
      <c r="C136" s="7" t="str">
        <f aca="false">IF(A136="","",TEXT(A136,"MMM-YYYY"))</f>
        <v/>
      </c>
      <c r="D136" s="4"/>
    </row>
    <row r="137" customFormat="false" ht="15" hidden="false" customHeight="false" outlineLevel="0" collapsed="false">
      <c r="A137" s="6"/>
      <c r="B137" s="4"/>
      <c r="C137" s="7" t="str">
        <f aca="false">IF(A137="","",TEXT(A137,"MMM-YYYY"))</f>
        <v/>
      </c>
      <c r="D137" s="4"/>
    </row>
    <row r="138" customFormat="false" ht="15" hidden="false" customHeight="false" outlineLevel="0" collapsed="false">
      <c r="A138" s="6"/>
      <c r="B138" s="4"/>
      <c r="C138" s="7" t="str">
        <f aca="false">IF(A138="","",TEXT(A138,"MMM-YYYY"))</f>
        <v/>
      </c>
      <c r="D138" s="4"/>
    </row>
    <row r="139" customFormat="false" ht="15" hidden="false" customHeight="false" outlineLevel="0" collapsed="false">
      <c r="A139" s="6"/>
      <c r="B139" s="4"/>
      <c r="C139" s="7" t="str">
        <f aca="false">IF(A139="","",TEXT(A139,"MMM-YYYY"))</f>
        <v/>
      </c>
      <c r="D139" s="4"/>
    </row>
    <row r="140" customFormat="false" ht="15" hidden="false" customHeight="false" outlineLevel="0" collapsed="false">
      <c r="A140" s="6"/>
      <c r="B140" s="4"/>
      <c r="C140" s="7" t="str">
        <f aca="false">IF(A140="","",TEXT(A140,"MMM-YYYY"))</f>
        <v/>
      </c>
      <c r="D140" s="4"/>
    </row>
    <row r="141" customFormat="false" ht="15" hidden="false" customHeight="false" outlineLevel="0" collapsed="false">
      <c r="A141" s="6"/>
      <c r="B141" s="4"/>
      <c r="C141" s="7" t="str">
        <f aca="false">IF(A141="","",TEXT(A141,"MMM-YYYY"))</f>
        <v/>
      </c>
      <c r="D141" s="4"/>
    </row>
    <row r="142" customFormat="false" ht="15" hidden="false" customHeight="false" outlineLevel="0" collapsed="false">
      <c r="A142" s="6"/>
      <c r="B142" s="4"/>
      <c r="C142" s="7" t="str">
        <f aca="false">IF(A142="","",TEXT(A142,"MMM-YYYY"))</f>
        <v/>
      </c>
      <c r="D142" s="4"/>
    </row>
    <row r="143" customFormat="false" ht="15" hidden="false" customHeight="false" outlineLevel="0" collapsed="false">
      <c r="A143" s="6"/>
      <c r="B143" s="4"/>
      <c r="C143" s="7" t="str">
        <f aca="false">IF(A143="","",TEXT(A143,"MMM-YYYY"))</f>
        <v/>
      </c>
      <c r="D143" s="4"/>
    </row>
    <row r="144" customFormat="false" ht="15" hidden="false" customHeight="false" outlineLevel="0" collapsed="false">
      <c r="A144" s="6"/>
      <c r="B144" s="4"/>
      <c r="C144" s="7" t="str">
        <f aca="false">IF(A144="","",TEXT(A144,"MMM-YYYY"))</f>
        <v/>
      </c>
      <c r="D144" s="4"/>
    </row>
    <row r="145" customFormat="false" ht="15" hidden="false" customHeight="false" outlineLevel="0" collapsed="false">
      <c r="A145" s="6"/>
      <c r="B145" s="4"/>
      <c r="C145" s="7" t="str">
        <f aca="false">IF(A145="","",TEXT(A145,"MMM-YYYY"))</f>
        <v/>
      </c>
      <c r="D145" s="4"/>
    </row>
    <row r="146" customFormat="false" ht="15" hidden="false" customHeight="false" outlineLevel="0" collapsed="false">
      <c r="A146" s="6"/>
      <c r="B146" s="4"/>
      <c r="C146" s="7" t="str">
        <f aca="false">IF(A146="","",TEXT(A146,"MMM-YYYY"))</f>
        <v/>
      </c>
      <c r="D146" s="4"/>
    </row>
    <row r="147" customFormat="false" ht="15" hidden="false" customHeight="false" outlineLevel="0" collapsed="false">
      <c r="A147" s="6"/>
      <c r="B147" s="4"/>
      <c r="C147" s="7" t="str">
        <f aca="false">IF(A147="","",TEXT(A147,"MMM-YYYY"))</f>
        <v/>
      </c>
      <c r="D147" s="4"/>
    </row>
    <row r="148" customFormat="false" ht="15" hidden="false" customHeight="false" outlineLevel="0" collapsed="false">
      <c r="A148" s="6"/>
      <c r="B148" s="4"/>
      <c r="C148" s="7" t="str">
        <f aca="false">IF(A148="","",TEXT(A148,"MMM-YYYY"))</f>
        <v/>
      </c>
      <c r="D148" s="4"/>
    </row>
    <row r="149" customFormat="false" ht="15" hidden="false" customHeight="false" outlineLevel="0" collapsed="false">
      <c r="A149" s="6"/>
      <c r="B149" s="4"/>
      <c r="C149" s="7" t="str">
        <f aca="false">IF(A149="","",TEXT(A149,"MMM-YYYY"))</f>
        <v/>
      </c>
      <c r="D149" s="4"/>
    </row>
    <row r="150" customFormat="false" ht="15" hidden="false" customHeight="false" outlineLevel="0" collapsed="false">
      <c r="A150" s="6"/>
      <c r="B150" s="4"/>
      <c r="C150" s="7" t="str">
        <f aca="false">IF(A150="","",TEXT(A150,"MMM-YYYY"))</f>
        <v/>
      </c>
      <c r="D150" s="4"/>
    </row>
    <row r="151" customFormat="false" ht="15" hidden="false" customHeight="false" outlineLevel="0" collapsed="false">
      <c r="A151" s="6"/>
      <c r="B151" s="4"/>
      <c r="C151" s="7" t="str">
        <f aca="false">IF(A151="","",TEXT(A151,"MMM-YYYY"))</f>
        <v/>
      </c>
      <c r="D151" s="4"/>
    </row>
    <row r="152" customFormat="false" ht="15" hidden="false" customHeight="false" outlineLevel="0" collapsed="false">
      <c r="A152" s="6"/>
      <c r="B152" s="4"/>
      <c r="C152" s="7" t="str">
        <f aca="false">IF(A152="","",TEXT(A152,"MMM-YYYY"))</f>
        <v/>
      </c>
      <c r="D152" s="4"/>
    </row>
    <row r="153" customFormat="false" ht="15" hidden="false" customHeight="false" outlineLevel="0" collapsed="false">
      <c r="A153" s="6"/>
      <c r="B153" s="4"/>
      <c r="C153" s="7" t="str">
        <f aca="false">IF(A153="","",TEXT(A153,"MMM-YYYY"))</f>
        <v/>
      </c>
      <c r="D153" s="4"/>
    </row>
    <row r="154" customFormat="false" ht="15" hidden="false" customHeight="false" outlineLevel="0" collapsed="false">
      <c r="A154" s="6"/>
      <c r="B154" s="4"/>
      <c r="C154" s="7" t="str">
        <f aca="false">IF(A154="","",TEXT(A154,"MMM-YYYY"))</f>
        <v/>
      </c>
      <c r="D154" s="4"/>
    </row>
    <row r="155" customFormat="false" ht="15" hidden="false" customHeight="false" outlineLevel="0" collapsed="false">
      <c r="A155" s="6"/>
      <c r="B155" s="4"/>
      <c r="C155" s="7" t="str">
        <f aca="false">IF(A155="","",TEXT(A155,"MMM-YYYY"))</f>
        <v/>
      </c>
      <c r="D155" s="4"/>
    </row>
    <row r="156" customFormat="false" ht="15" hidden="false" customHeight="false" outlineLevel="0" collapsed="false">
      <c r="A156" s="6"/>
      <c r="B156" s="4"/>
      <c r="C156" s="7" t="str">
        <f aca="false">IF(A156="","",TEXT(A156,"MMM-YYYY"))</f>
        <v/>
      </c>
      <c r="D156" s="4"/>
    </row>
    <row r="157" customFormat="false" ht="15" hidden="false" customHeight="false" outlineLevel="0" collapsed="false">
      <c r="A157" s="6"/>
      <c r="B157" s="4"/>
      <c r="C157" s="7" t="str">
        <f aca="false">IF(A157="","",TEXT(A157,"MMM-YYYY"))</f>
        <v/>
      </c>
      <c r="D157" s="4"/>
    </row>
    <row r="158" customFormat="false" ht="15" hidden="false" customHeight="false" outlineLevel="0" collapsed="false">
      <c r="A158" s="6"/>
      <c r="B158" s="4"/>
      <c r="C158" s="7" t="str">
        <f aca="false">IF(A158="","",TEXT(A158,"MMM-YYYY"))</f>
        <v/>
      </c>
      <c r="D158" s="4"/>
    </row>
    <row r="159" customFormat="false" ht="15" hidden="false" customHeight="false" outlineLevel="0" collapsed="false">
      <c r="A159" s="6"/>
      <c r="B159" s="4"/>
      <c r="C159" s="7" t="str">
        <f aca="false">IF(A159="","",TEXT(A159,"MMM-YYYY"))</f>
        <v/>
      </c>
      <c r="D159" s="4"/>
    </row>
    <row r="160" customFormat="false" ht="15" hidden="false" customHeight="false" outlineLevel="0" collapsed="false">
      <c r="A160" s="6"/>
      <c r="B160" s="4"/>
      <c r="C160" s="7" t="str">
        <f aca="false">IF(A160="","",TEXT(A160,"MMM-YYYY"))</f>
        <v/>
      </c>
      <c r="D160" s="4"/>
    </row>
    <row r="161" customFormat="false" ht="15" hidden="false" customHeight="false" outlineLevel="0" collapsed="false">
      <c r="A161" s="6"/>
      <c r="B161" s="4"/>
      <c r="C161" s="7" t="str">
        <f aca="false">IF(A161="","",TEXT(A161,"MMM-YYYY"))</f>
        <v/>
      </c>
      <c r="D161" s="4"/>
    </row>
    <row r="162" customFormat="false" ht="15" hidden="false" customHeight="false" outlineLevel="0" collapsed="false">
      <c r="A162" s="6"/>
      <c r="B162" s="4"/>
      <c r="C162" s="7" t="str">
        <f aca="false">IF(A162="","",TEXT(A162,"MMM-YYYY"))</f>
        <v/>
      </c>
      <c r="D162" s="4"/>
    </row>
    <row r="163" customFormat="false" ht="15" hidden="false" customHeight="false" outlineLevel="0" collapsed="false">
      <c r="A163" s="6"/>
      <c r="B163" s="4"/>
      <c r="C163" s="7" t="str">
        <f aca="false">IF(A163="","",TEXT(A163,"MMM-YYYY"))</f>
        <v/>
      </c>
      <c r="D163" s="4"/>
    </row>
    <row r="164" customFormat="false" ht="15" hidden="false" customHeight="false" outlineLevel="0" collapsed="false">
      <c r="A164" s="6"/>
      <c r="B164" s="4"/>
      <c r="C164" s="7" t="str">
        <f aca="false">IF(A164="","",TEXT(A164,"MMM-YYYY"))</f>
        <v/>
      </c>
      <c r="D164" s="4"/>
    </row>
    <row r="165" customFormat="false" ht="15" hidden="false" customHeight="false" outlineLevel="0" collapsed="false">
      <c r="A165" s="6"/>
      <c r="B165" s="4"/>
      <c r="C165" s="7" t="str">
        <f aca="false">IF(A165="","",TEXT(A165,"MMM-YYYY"))</f>
        <v/>
      </c>
      <c r="D165" s="4"/>
    </row>
    <row r="166" customFormat="false" ht="15" hidden="false" customHeight="false" outlineLevel="0" collapsed="false">
      <c r="A166" s="6"/>
      <c r="B166" s="4"/>
      <c r="C166" s="7" t="str">
        <f aca="false">IF(A166="","",TEXT(A166,"MMM-YYYY"))</f>
        <v/>
      </c>
      <c r="D166" s="4"/>
    </row>
    <row r="167" customFormat="false" ht="15" hidden="false" customHeight="false" outlineLevel="0" collapsed="false">
      <c r="A167" s="6"/>
      <c r="B167" s="4"/>
      <c r="C167" s="7" t="str">
        <f aca="false">IF(A167="","",TEXT(A167,"MMM-YYYY"))</f>
        <v/>
      </c>
      <c r="D167" s="4"/>
    </row>
    <row r="168" customFormat="false" ht="15" hidden="false" customHeight="false" outlineLevel="0" collapsed="false">
      <c r="A168" s="6"/>
      <c r="B168" s="4"/>
      <c r="C168" s="7" t="str">
        <f aca="false">IF(A168="","",TEXT(A168,"MMM-YYYY"))</f>
        <v/>
      </c>
      <c r="D168" s="4"/>
    </row>
    <row r="169" customFormat="false" ht="15" hidden="false" customHeight="false" outlineLevel="0" collapsed="false">
      <c r="A169" s="6"/>
      <c r="B169" s="4"/>
      <c r="C169" s="7" t="str">
        <f aca="false">IF(A169="","",TEXT(A169,"MMM-YYYY"))</f>
        <v/>
      </c>
      <c r="D169" s="4"/>
    </row>
    <row r="170" customFormat="false" ht="15" hidden="false" customHeight="false" outlineLevel="0" collapsed="false">
      <c r="A170" s="6"/>
      <c r="B170" s="4"/>
      <c r="C170" s="7" t="str">
        <f aca="false">IF(A170="","",TEXT(A170,"MMM-YYYY"))</f>
        <v/>
      </c>
      <c r="D170" s="4"/>
    </row>
    <row r="171" customFormat="false" ht="15" hidden="false" customHeight="false" outlineLevel="0" collapsed="false">
      <c r="A171" s="6"/>
      <c r="B171" s="4"/>
      <c r="C171" s="7" t="str">
        <f aca="false">IF(A171="","",TEXT(A171,"MMM-YYYY"))</f>
        <v/>
      </c>
      <c r="D171" s="4"/>
    </row>
    <row r="172" customFormat="false" ht="15" hidden="false" customHeight="false" outlineLevel="0" collapsed="false">
      <c r="A172" s="6"/>
      <c r="B172" s="4"/>
      <c r="C172" s="7" t="str">
        <f aca="false">IF(A172="","",TEXT(A172,"MMM-YYYY"))</f>
        <v/>
      </c>
      <c r="D172" s="4"/>
    </row>
    <row r="173" customFormat="false" ht="15" hidden="false" customHeight="false" outlineLevel="0" collapsed="false">
      <c r="A173" s="6"/>
      <c r="B173" s="4"/>
      <c r="C173" s="7" t="str">
        <f aca="false">IF(A173="","",TEXT(A173,"MMM-YYYY"))</f>
        <v/>
      </c>
      <c r="D173" s="4"/>
    </row>
    <row r="174" customFormat="false" ht="15" hidden="false" customHeight="false" outlineLevel="0" collapsed="false">
      <c r="A174" s="6"/>
      <c r="B174" s="4"/>
      <c r="C174" s="7" t="str">
        <f aca="false">IF(A174="","",TEXT(A174,"MMM-YYYY"))</f>
        <v/>
      </c>
      <c r="D174" s="4"/>
    </row>
    <row r="175" customFormat="false" ht="15" hidden="false" customHeight="false" outlineLevel="0" collapsed="false">
      <c r="A175" s="6"/>
      <c r="B175" s="4"/>
      <c r="C175" s="7" t="str">
        <f aca="false">IF(A175="","",TEXT(A175,"MMM-YYYY"))</f>
        <v/>
      </c>
      <c r="D175" s="4"/>
    </row>
    <row r="176" customFormat="false" ht="15" hidden="false" customHeight="false" outlineLevel="0" collapsed="false">
      <c r="A176" s="6"/>
      <c r="B176" s="4"/>
      <c r="C176" s="7" t="str">
        <f aca="false">IF(A176="","",TEXT(A176,"MMM-YYYY"))</f>
        <v/>
      </c>
      <c r="D176" s="4"/>
    </row>
    <row r="177" customFormat="false" ht="15" hidden="false" customHeight="false" outlineLevel="0" collapsed="false">
      <c r="A177" s="6"/>
      <c r="B177" s="4"/>
      <c r="C177" s="7" t="str">
        <f aca="false">IF(A177="","",TEXT(A177,"MMM-YYYY"))</f>
        <v/>
      </c>
      <c r="D177" s="4"/>
    </row>
    <row r="178" customFormat="false" ht="15" hidden="false" customHeight="false" outlineLevel="0" collapsed="false">
      <c r="A178" s="6"/>
      <c r="B178" s="4"/>
      <c r="C178" s="7" t="str">
        <f aca="false">IF(A178="","",TEXT(A178,"MMM-YYYY"))</f>
        <v/>
      </c>
      <c r="D178" s="4"/>
    </row>
    <row r="179" customFormat="false" ht="15" hidden="false" customHeight="false" outlineLevel="0" collapsed="false">
      <c r="A179" s="6"/>
      <c r="B179" s="4"/>
      <c r="C179" s="7" t="str">
        <f aca="false">IF(A179="","",TEXT(A179,"MMM-YYYY"))</f>
        <v/>
      </c>
      <c r="D179" s="4"/>
    </row>
    <row r="180" customFormat="false" ht="15" hidden="false" customHeight="false" outlineLevel="0" collapsed="false">
      <c r="A180" s="6"/>
      <c r="B180" s="4"/>
      <c r="C180" s="7" t="str">
        <f aca="false">IF(A180="","",TEXT(A180,"MMM-YYYY"))</f>
        <v/>
      </c>
      <c r="D180" s="4"/>
    </row>
    <row r="181" customFormat="false" ht="15" hidden="false" customHeight="false" outlineLevel="0" collapsed="false">
      <c r="A181" s="6"/>
      <c r="B181" s="4"/>
      <c r="C181" s="7" t="str">
        <f aca="false">IF(A181="","",TEXT(A181,"MMM-YYYY"))</f>
        <v/>
      </c>
      <c r="D181" s="4"/>
    </row>
    <row r="182" customFormat="false" ht="15" hidden="false" customHeight="false" outlineLevel="0" collapsed="false">
      <c r="A182" s="6"/>
      <c r="B182" s="4"/>
      <c r="C182" s="7" t="str">
        <f aca="false">IF(A182="","",TEXT(A182,"MMM-YYYY"))</f>
        <v/>
      </c>
      <c r="D182" s="4"/>
    </row>
    <row r="183" customFormat="false" ht="15" hidden="false" customHeight="false" outlineLevel="0" collapsed="false">
      <c r="A183" s="6"/>
      <c r="B183" s="4"/>
      <c r="C183" s="7" t="str">
        <f aca="false">IF(A183="","",TEXT(A183,"MMM-YYYY"))</f>
        <v/>
      </c>
      <c r="D183" s="4"/>
    </row>
    <row r="184" customFormat="false" ht="15" hidden="false" customHeight="false" outlineLevel="0" collapsed="false">
      <c r="A184" s="6"/>
      <c r="B184" s="4"/>
      <c r="C184" s="7" t="str">
        <f aca="false">IF(A184="","",TEXT(A184,"MMM-YYYY"))</f>
        <v/>
      </c>
      <c r="D184" s="4"/>
    </row>
    <row r="185" customFormat="false" ht="15" hidden="false" customHeight="false" outlineLevel="0" collapsed="false">
      <c r="A185" s="6"/>
      <c r="B185" s="4"/>
      <c r="C185" s="7" t="str">
        <f aca="false">IF(A185="","",TEXT(A185,"MMM-YYYY"))</f>
        <v/>
      </c>
      <c r="D185" s="4"/>
    </row>
    <row r="186" customFormat="false" ht="15" hidden="false" customHeight="false" outlineLevel="0" collapsed="false">
      <c r="A186" s="6"/>
      <c r="B186" s="4"/>
      <c r="C186" s="7" t="str">
        <f aca="false">IF(A186="","",TEXT(A186,"MMM-YYYY"))</f>
        <v/>
      </c>
      <c r="D186" s="4"/>
    </row>
    <row r="187" customFormat="false" ht="15" hidden="false" customHeight="false" outlineLevel="0" collapsed="false">
      <c r="A187" s="6"/>
      <c r="B187" s="4"/>
      <c r="C187" s="7" t="str">
        <f aca="false">IF(A187="","",TEXT(A187,"MMM-YYYY"))</f>
        <v/>
      </c>
      <c r="D187" s="4"/>
    </row>
    <row r="188" customFormat="false" ht="15" hidden="false" customHeight="false" outlineLevel="0" collapsed="false">
      <c r="A188" s="6"/>
      <c r="B188" s="4"/>
      <c r="C188" s="7" t="str">
        <f aca="false">IF(A188="","",TEXT(A188,"MMM-YYYY"))</f>
        <v/>
      </c>
      <c r="D188" s="4"/>
    </row>
    <row r="189" customFormat="false" ht="15" hidden="false" customHeight="false" outlineLevel="0" collapsed="false">
      <c r="A189" s="6"/>
      <c r="B189" s="4"/>
      <c r="C189" s="7" t="str">
        <f aca="false">IF(A189="","",TEXT(A189,"MMM-YYYY"))</f>
        <v/>
      </c>
      <c r="D189" s="4"/>
    </row>
    <row r="190" customFormat="false" ht="15" hidden="false" customHeight="false" outlineLevel="0" collapsed="false">
      <c r="A190" s="6"/>
      <c r="B190" s="4"/>
      <c r="C190" s="7" t="str">
        <f aca="false">IF(A190="","",TEXT(A190,"MMM-YYYY"))</f>
        <v/>
      </c>
      <c r="D190" s="4"/>
    </row>
    <row r="191" customFormat="false" ht="15" hidden="false" customHeight="false" outlineLevel="0" collapsed="false">
      <c r="A191" s="6"/>
      <c r="B191" s="4"/>
      <c r="C191" s="7" t="str">
        <f aca="false">IF(A191="","",TEXT(A191,"MMM-YYYY"))</f>
        <v/>
      </c>
      <c r="D191" s="4"/>
    </row>
    <row r="192" customFormat="false" ht="15" hidden="false" customHeight="false" outlineLevel="0" collapsed="false">
      <c r="A192" s="6"/>
      <c r="B192" s="4"/>
      <c r="C192" s="7" t="str">
        <f aca="false">IF(A192="","",TEXT(A192,"MMM-YYYY"))</f>
        <v/>
      </c>
      <c r="D192" s="4"/>
    </row>
    <row r="193" customFormat="false" ht="15" hidden="false" customHeight="false" outlineLevel="0" collapsed="false">
      <c r="A193" s="6"/>
      <c r="B193" s="4"/>
      <c r="C193" s="7" t="str">
        <f aca="false">IF(A193="","",TEXT(A193,"MMM-YYYY"))</f>
        <v/>
      </c>
      <c r="D193" s="4"/>
    </row>
    <row r="194" customFormat="false" ht="15" hidden="false" customHeight="false" outlineLevel="0" collapsed="false">
      <c r="A194" s="6"/>
      <c r="B194" s="4"/>
      <c r="C194" s="7" t="str">
        <f aca="false">IF(A194="","",TEXT(A194,"MMM-YYYY"))</f>
        <v/>
      </c>
      <c r="D194" s="4"/>
    </row>
    <row r="195" customFormat="false" ht="15" hidden="false" customHeight="false" outlineLevel="0" collapsed="false">
      <c r="A195" s="6"/>
      <c r="B195" s="4"/>
      <c r="C195" s="7" t="str">
        <f aca="false">IF(A195="","",TEXT(A195,"MMM-YYYY"))</f>
        <v/>
      </c>
      <c r="D195" s="4"/>
    </row>
    <row r="196" customFormat="false" ht="15" hidden="false" customHeight="false" outlineLevel="0" collapsed="false">
      <c r="A196" s="6"/>
      <c r="B196" s="4"/>
      <c r="C196" s="7" t="str">
        <f aca="false">IF(A196="","",TEXT(A196,"MMM-YYYY"))</f>
        <v/>
      </c>
      <c r="D196" s="4"/>
    </row>
    <row r="197" customFormat="false" ht="15" hidden="false" customHeight="false" outlineLevel="0" collapsed="false">
      <c r="A197" s="6"/>
      <c r="B197" s="4"/>
      <c r="C197" s="7" t="str">
        <f aca="false">IF(A197="","",TEXT(A197,"MMM-YYYY"))</f>
        <v/>
      </c>
      <c r="D197" s="4"/>
    </row>
    <row r="198" customFormat="false" ht="15" hidden="false" customHeight="false" outlineLevel="0" collapsed="false">
      <c r="A198" s="6"/>
      <c r="B198" s="4"/>
      <c r="C198" s="7" t="str">
        <f aca="false">IF(A198="","",TEXT(A198,"MMM-YYYY"))</f>
        <v/>
      </c>
      <c r="D198" s="4"/>
    </row>
    <row r="199" customFormat="false" ht="15" hidden="false" customHeight="false" outlineLevel="0" collapsed="false">
      <c r="A199" s="6"/>
      <c r="B199" s="4"/>
      <c r="C199" s="7" t="str">
        <f aca="false">IF(A199="","",TEXT(A199,"MMM-YYYY"))</f>
        <v/>
      </c>
      <c r="D199" s="4"/>
    </row>
    <row r="200" customFormat="false" ht="15" hidden="false" customHeight="false" outlineLevel="0" collapsed="false">
      <c r="A200" s="6"/>
      <c r="B200" s="4"/>
      <c r="C200" s="7" t="str">
        <f aca="false">IF(A200="","",TEXT(A200,"MMM-YYYY"))</f>
        <v/>
      </c>
      <c r="D200" s="4"/>
    </row>
    <row r="201" customFormat="false" ht="15" hidden="false" customHeight="false" outlineLevel="0" collapsed="false">
      <c r="A201" s="6"/>
      <c r="B201" s="4"/>
      <c r="C201" s="7" t="str">
        <f aca="false">IF(A201="","",TEXT(A201,"MMM-YYYY"))</f>
        <v/>
      </c>
      <c r="D201" s="4"/>
    </row>
    <row r="202" customFormat="false" ht="15" hidden="false" customHeight="false" outlineLevel="0" collapsed="false">
      <c r="A202" s="6"/>
      <c r="B202" s="4"/>
      <c r="C202" s="7" t="str">
        <f aca="false">IF(A202="","",TEXT(A202,"MMM-YYYY"))</f>
        <v/>
      </c>
      <c r="D202" s="4"/>
    </row>
    <row r="203" customFormat="false" ht="15" hidden="false" customHeight="false" outlineLevel="0" collapsed="false">
      <c r="A203" s="6"/>
      <c r="B203" s="4"/>
      <c r="C203" s="7" t="str">
        <f aca="false">IF(A203="","",TEXT(A203,"MMM-YYYY"))</f>
        <v/>
      </c>
      <c r="D203" s="4"/>
    </row>
    <row r="204" customFormat="false" ht="15" hidden="false" customHeight="false" outlineLevel="0" collapsed="false">
      <c r="A204" s="6"/>
      <c r="B204" s="4"/>
      <c r="C204" s="7" t="str">
        <f aca="false">IF(A204="","",TEXT(A204,"MMM-YYYY"))</f>
        <v/>
      </c>
      <c r="D204" s="4"/>
    </row>
    <row r="205" customFormat="false" ht="15" hidden="false" customHeight="false" outlineLevel="0" collapsed="false">
      <c r="A205" s="6"/>
      <c r="B205" s="4"/>
      <c r="C205" s="7" t="str">
        <f aca="false">IF(A205="","",TEXT(A205,"MMM-YYYY"))</f>
        <v/>
      </c>
      <c r="D205" s="4"/>
    </row>
    <row r="206" customFormat="false" ht="15" hidden="false" customHeight="false" outlineLevel="0" collapsed="false">
      <c r="A206" s="6"/>
      <c r="B206" s="4"/>
      <c r="C206" s="7" t="str">
        <f aca="false">IF(A206="","",TEXT(A206,"MMM-YYYY"))</f>
        <v/>
      </c>
      <c r="D206" s="4"/>
    </row>
    <row r="207" customFormat="false" ht="15" hidden="false" customHeight="false" outlineLevel="0" collapsed="false">
      <c r="A207" s="6"/>
      <c r="B207" s="4"/>
      <c r="C207" s="7" t="str">
        <f aca="false">IF(A207="","",TEXT(A207,"MMM-YYYY"))</f>
        <v/>
      </c>
      <c r="D207" s="4"/>
    </row>
    <row r="208" customFormat="false" ht="15" hidden="false" customHeight="false" outlineLevel="0" collapsed="false">
      <c r="A208" s="6"/>
      <c r="B208" s="4"/>
      <c r="C208" s="7" t="str">
        <f aca="false">IF(A208="","",TEXT(A208,"MMM-YYYY"))</f>
        <v/>
      </c>
      <c r="D208" s="4"/>
    </row>
    <row r="209" customFormat="false" ht="15" hidden="false" customHeight="false" outlineLevel="0" collapsed="false">
      <c r="A209" s="6"/>
      <c r="B209" s="4"/>
      <c r="C209" s="7" t="str">
        <f aca="false">IF(A209="","",TEXT(A209,"MMM-YYYY"))</f>
        <v/>
      </c>
      <c r="D209" s="4"/>
    </row>
    <row r="210" customFormat="false" ht="15" hidden="false" customHeight="false" outlineLevel="0" collapsed="false">
      <c r="A210" s="6"/>
      <c r="B210" s="4"/>
      <c r="C210" s="7" t="str">
        <f aca="false">IF(A210="","",TEXT(A210,"MMM-YYYY"))</f>
        <v/>
      </c>
      <c r="D210" s="4"/>
    </row>
    <row r="211" customFormat="false" ht="15" hidden="false" customHeight="false" outlineLevel="0" collapsed="false">
      <c r="A211" s="6"/>
      <c r="B211" s="4"/>
      <c r="C211" s="7" t="str">
        <f aca="false">IF(A211="","",TEXT(A211,"MMM-YYYY"))</f>
        <v/>
      </c>
      <c r="D211" s="4"/>
    </row>
    <row r="212" customFormat="false" ht="15" hidden="false" customHeight="false" outlineLevel="0" collapsed="false">
      <c r="A212" s="6"/>
      <c r="B212" s="4"/>
      <c r="C212" s="7" t="str">
        <f aca="false">IF(A212="","",TEXT(A212,"MMM-YYYY"))</f>
        <v/>
      </c>
      <c r="D212" s="4"/>
    </row>
    <row r="213" customFormat="false" ht="15" hidden="false" customHeight="false" outlineLevel="0" collapsed="false">
      <c r="A213" s="6"/>
      <c r="B213" s="4"/>
      <c r="C213" s="7" t="str">
        <f aca="false">IF(A213="","",TEXT(A213,"MMM-YYYY"))</f>
        <v/>
      </c>
      <c r="D213" s="4"/>
    </row>
    <row r="214" customFormat="false" ht="15" hidden="false" customHeight="false" outlineLevel="0" collapsed="false">
      <c r="A214" s="6"/>
      <c r="B214" s="4"/>
      <c r="C214" s="7" t="str">
        <f aca="false">IF(A214="","",TEXT(A214,"MMM-YYYY"))</f>
        <v/>
      </c>
      <c r="D214" s="4"/>
    </row>
    <row r="215" customFormat="false" ht="15" hidden="false" customHeight="false" outlineLevel="0" collapsed="false">
      <c r="A215" s="6"/>
      <c r="B215" s="4"/>
      <c r="C215" s="7" t="str">
        <f aca="false">IF(A215="","",TEXT(A215,"MMM-YYYY"))</f>
        <v/>
      </c>
      <c r="D215" s="4"/>
    </row>
    <row r="216" customFormat="false" ht="15" hidden="false" customHeight="false" outlineLevel="0" collapsed="false">
      <c r="A216" s="6"/>
      <c r="B216" s="4"/>
      <c r="C216" s="7" t="str">
        <f aca="false">IF(A216="","",TEXT(A216,"MMM-YYYY"))</f>
        <v/>
      </c>
      <c r="D216" s="4"/>
    </row>
    <row r="217" customFormat="false" ht="15" hidden="false" customHeight="false" outlineLevel="0" collapsed="false">
      <c r="A217" s="6"/>
      <c r="B217" s="4"/>
      <c r="C217" s="7" t="str">
        <f aca="false">IF(A217="","",TEXT(A217,"MMM-YYYY"))</f>
        <v/>
      </c>
      <c r="D217" s="4"/>
    </row>
    <row r="218" customFormat="false" ht="15" hidden="false" customHeight="false" outlineLevel="0" collapsed="false">
      <c r="A218" s="6"/>
      <c r="B218" s="4"/>
      <c r="C218" s="7" t="str">
        <f aca="false">IF(A218="","",TEXT(A218,"MMM-YYYY"))</f>
        <v/>
      </c>
      <c r="D218" s="4"/>
    </row>
    <row r="219" customFormat="false" ht="15" hidden="false" customHeight="false" outlineLevel="0" collapsed="false">
      <c r="A219" s="6"/>
      <c r="B219" s="4"/>
      <c r="C219" s="7" t="str">
        <f aca="false">IF(A219="","",TEXT(A219,"MMM-YYYY"))</f>
        <v/>
      </c>
      <c r="D219" s="4"/>
    </row>
    <row r="220" customFormat="false" ht="15" hidden="false" customHeight="false" outlineLevel="0" collapsed="false">
      <c r="A220" s="6"/>
      <c r="B220" s="4"/>
      <c r="C220" s="7" t="str">
        <f aca="false">IF(A220="","",TEXT(A220,"MMM-YYYY"))</f>
        <v/>
      </c>
      <c r="D220" s="4"/>
    </row>
    <row r="221" customFormat="false" ht="15" hidden="false" customHeight="false" outlineLevel="0" collapsed="false">
      <c r="A221" s="6"/>
      <c r="B221" s="4"/>
      <c r="C221" s="7" t="str">
        <f aca="false">IF(A221="","",TEXT(A221,"MMM-YYYY"))</f>
        <v/>
      </c>
      <c r="D221" s="4"/>
    </row>
    <row r="222" customFormat="false" ht="15" hidden="false" customHeight="false" outlineLevel="0" collapsed="false">
      <c r="A222" s="6"/>
      <c r="B222" s="4"/>
      <c r="C222" s="7" t="str">
        <f aca="false">IF(A222="","",TEXT(A222,"MMM-YYYY"))</f>
        <v/>
      </c>
      <c r="D222" s="4"/>
    </row>
    <row r="223" customFormat="false" ht="15" hidden="false" customHeight="false" outlineLevel="0" collapsed="false">
      <c r="A223" s="6"/>
      <c r="B223" s="4"/>
      <c r="C223" s="7" t="str">
        <f aca="false">IF(A223="","",TEXT(A223,"MMM-YYYY"))</f>
        <v/>
      </c>
      <c r="D223" s="4"/>
    </row>
    <row r="224" customFormat="false" ht="15" hidden="false" customHeight="false" outlineLevel="0" collapsed="false">
      <c r="A224" s="6"/>
      <c r="B224" s="4"/>
      <c r="C224" s="7" t="str">
        <f aca="false">IF(A224="","",TEXT(A224,"MMM-YYYY"))</f>
        <v/>
      </c>
      <c r="D224" s="4"/>
    </row>
    <row r="225" customFormat="false" ht="15" hidden="false" customHeight="false" outlineLevel="0" collapsed="false">
      <c r="A225" s="6"/>
      <c r="B225" s="4"/>
      <c r="C225" s="7" t="str">
        <f aca="false">IF(A225="","",TEXT(A225,"MMM-YYYY"))</f>
        <v/>
      </c>
      <c r="D225" s="4"/>
    </row>
    <row r="226" customFormat="false" ht="15" hidden="false" customHeight="false" outlineLevel="0" collapsed="false">
      <c r="A226" s="6"/>
      <c r="B226" s="4"/>
      <c r="C226" s="7" t="str">
        <f aca="false">IF(A226="","",TEXT(A226,"MMM-YYYY"))</f>
        <v/>
      </c>
      <c r="D226" s="4"/>
    </row>
    <row r="227" customFormat="false" ht="15" hidden="false" customHeight="false" outlineLevel="0" collapsed="false">
      <c r="A227" s="6"/>
      <c r="B227" s="4"/>
      <c r="C227" s="7" t="str">
        <f aca="false">IF(A227="","",TEXT(A227,"MMM-YYYY"))</f>
        <v/>
      </c>
      <c r="D227" s="4"/>
    </row>
    <row r="228" customFormat="false" ht="15" hidden="false" customHeight="false" outlineLevel="0" collapsed="false">
      <c r="A228" s="6"/>
      <c r="B228" s="4"/>
      <c r="C228" s="7" t="str">
        <f aca="false">IF(A228="","",TEXT(A228,"MMM-YYYY"))</f>
        <v/>
      </c>
      <c r="D228" s="4"/>
    </row>
    <row r="229" customFormat="false" ht="15" hidden="false" customHeight="false" outlineLevel="0" collapsed="false">
      <c r="A229" s="6"/>
      <c r="B229" s="4"/>
      <c r="C229" s="7" t="str">
        <f aca="false">IF(A229="","",TEXT(A229,"MMM-YYYY"))</f>
        <v/>
      </c>
      <c r="D229" s="4"/>
    </row>
    <row r="230" customFormat="false" ht="15" hidden="false" customHeight="false" outlineLevel="0" collapsed="false">
      <c r="A230" s="6"/>
      <c r="B230" s="4"/>
      <c r="C230" s="7" t="str">
        <f aca="false">IF(A230="","",TEXT(A230,"MMM-YYYY"))</f>
        <v/>
      </c>
      <c r="D230" s="4"/>
    </row>
    <row r="231" customFormat="false" ht="15" hidden="false" customHeight="false" outlineLevel="0" collapsed="false">
      <c r="A231" s="6"/>
      <c r="B231" s="4"/>
      <c r="C231" s="7" t="str">
        <f aca="false">IF(A231="","",TEXT(A231,"MMM-YYYY"))</f>
        <v/>
      </c>
      <c r="D231" s="4"/>
    </row>
    <row r="232" customFormat="false" ht="15" hidden="false" customHeight="false" outlineLevel="0" collapsed="false">
      <c r="A232" s="6"/>
      <c r="B232" s="4"/>
      <c r="C232" s="7" t="str">
        <f aca="false">IF(A232="","",TEXT(A232,"MMM-YYYY"))</f>
        <v/>
      </c>
      <c r="D232" s="4"/>
    </row>
    <row r="233" customFormat="false" ht="15" hidden="false" customHeight="false" outlineLevel="0" collapsed="false">
      <c r="A233" s="6"/>
      <c r="B233" s="4"/>
      <c r="C233" s="7" t="str">
        <f aca="false">IF(A233="","",TEXT(A233,"MMM-YYYY"))</f>
        <v/>
      </c>
      <c r="D233" s="4"/>
    </row>
    <row r="234" customFormat="false" ht="15" hidden="false" customHeight="false" outlineLevel="0" collapsed="false">
      <c r="A234" s="6"/>
      <c r="B234" s="4"/>
      <c r="C234" s="7" t="str">
        <f aca="false">IF(A234="","",TEXT(A234,"MMM-YYYY"))</f>
        <v/>
      </c>
      <c r="D234" s="4"/>
    </row>
    <row r="235" customFormat="false" ht="15" hidden="false" customHeight="false" outlineLevel="0" collapsed="false">
      <c r="A235" s="6"/>
      <c r="B235" s="4"/>
      <c r="C235" s="7" t="str">
        <f aca="false">IF(A235="","",TEXT(A235,"MMM-YYYY"))</f>
        <v/>
      </c>
      <c r="D235" s="4"/>
    </row>
    <row r="236" customFormat="false" ht="15" hidden="false" customHeight="false" outlineLevel="0" collapsed="false">
      <c r="A236" s="6"/>
      <c r="B236" s="4"/>
      <c r="C236" s="7" t="str">
        <f aca="false">IF(A236="","",TEXT(A236,"MMM-YYYY"))</f>
        <v/>
      </c>
      <c r="D236" s="4"/>
    </row>
    <row r="237" customFormat="false" ht="15" hidden="false" customHeight="false" outlineLevel="0" collapsed="false">
      <c r="A237" s="6"/>
      <c r="B237" s="4"/>
      <c r="C237" s="7" t="str">
        <f aca="false">IF(A237="","",TEXT(A237,"MMM-YYYY"))</f>
        <v/>
      </c>
      <c r="D237" s="4"/>
    </row>
    <row r="238" customFormat="false" ht="15" hidden="false" customHeight="false" outlineLevel="0" collapsed="false">
      <c r="A238" s="6"/>
      <c r="B238" s="4"/>
      <c r="C238" s="7" t="str">
        <f aca="false">IF(A238="","",TEXT(A238,"MMM-YYYY"))</f>
        <v/>
      </c>
      <c r="D238" s="4"/>
    </row>
    <row r="239" customFormat="false" ht="15" hidden="false" customHeight="false" outlineLevel="0" collapsed="false">
      <c r="A239" s="6"/>
      <c r="B239" s="4"/>
      <c r="C239" s="7" t="str">
        <f aca="false">IF(A239="","",TEXT(A239,"MMM-YYYY"))</f>
        <v/>
      </c>
      <c r="D239" s="4"/>
    </row>
    <row r="240" customFormat="false" ht="15" hidden="false" customHeight="false" outlineLevel="0" collapsed="false">
      <c r="A240" s="6"/>
      <c r="B240" s="4"/>
      <c r="C240" s="7" t="str">
        <f aca="false">IF(A240="","",TEXT(A240,"MMM-YYYY"))</f>
        <v/>
      </c>
      <c r="D240" s="4"/>
    </row>
    <row r="241" customFormat="false" ht="15" hidden="false" customHeight="false" outlineLevel="0" collapsed="false">
      <c r="A241" s="6"/>
      <c r="B241" s="4"/>
      <c r="C241" s="7" t="str">
        <f aca="false">IF(A241="","",TEXT(A241,"MMM-YYYY"))</f>
        <v/>
      </c>
      <c r="D241" s="4"/>
    </row>
    <row r="242" customFormat="false" ht="15" hidden="false" customHeight="false" outlineLevel="0" collapsed="false">
      <c r="A242" s="6"/>
      <c r="B242" s="4"/>
      <c r="C242" s="7" t="str">
        <f aca="false">IF(A242="","",TEXT(A242,"MMM-YYYY"))</f>
        <v/>
      </c>
      <c r="D242" s="4"/>
    </row>
    <row r="243" customFormat="false" ht="15" hidden="false" customHeight="false" outlineLevel="0" collapsed="false">
      <c r="A243" s="6"/>
      <c r="B243" s="4"/>
      <c r="C243" s="7" t="str">
        <f aca="false">IF(A243="","",TEXT(A243,"MMM-YYYY"))</f>
        <v/>
      </c>
      <c r="D243" s="4"/>
    </row>
    <row r="244" customFormat="false" ht="15" hidden="false" customHeight="false" outlineLevel="0" collapsed="false">
      <c r="A244" s="6"/>
      <c r="B244" s="4"/>
      <c r="C244" s="7" t="str">
        <f aca="false">IF(A244="","",TEXT(A244,"MMM-YYYY"))</f>
        <v/>
      </c>
      <c r="D244" s="4"/>
    </row>
    <row r="245" customFormat="false" ht="15" hidden="false" customHeight="false" outlineLevel="0" collapsed="false">
      <c r="A245" s="6"/>
      <c r="B245" s="4"/>
      <c r="C245" s="7" t="str">
        <f aca="false">IF(A245="","",TEXT(A245,"MMM-YYYY"))</f>
        <v/>
      </c>
      <c r="D245" s="4"/>
    </row>
    <row r="246" customFormat="false" ht="15" hidden="false" customHeight="false" outlineLevel="0" collapsed="false">
      <c r="A246" s="6"/>
      <c r="B246" s="4"/>
      <c r="C246" s="7" t="str">
        <f aca="false">IF(A246="","",TEXT(A246,"MMM-YYYY"))</f>
        <v/>
      </c>
      <c r="D246" s="4"/>
    </row>
    <row r="247" customFormat="false" ht="15" hidden="false" customHeight="false" outlineLevel="0" collapsed="false">
      <c r="A247" s="6"/>
      <c r="B247" s="4"/>
      <c r="C247" s="7" t="str">
        <f aca="false">IF(A247="","",TEXT(A247,"MMM-YYYY"))</f>
        <v/>
      </c>
      <c r="D247" s="4"/>
    </row>
    <row r="248" customFormat="false" ht="15" hidden="false" customHeight="false" outlineLevel="0" collapsed="false">
      <c r="A248" s="6"/>
      <c r="B248" s="4"/>
      <c r="C248" s="7" t="str">
        <f aca="false">IF(A248="","",TEXT(A248,"MMM-YYYY"))</f>
        <v/>
      </c>
      <c r="D248" s="4"/>
    </row>
    <row r="249" customFormat="false" ht="15" hidden="false" customHeight="false" outlineLevel="0" collapsed="false">
      <c r="A249" s="6"/>
      <c r="B249" s="4"/>
      <c r="C249" s="7" t="str">
        <f aca="false">IF(A249="","",TEXT(A249,"MMM-YYYY"))</f>
        <v/>
      </c>
      <c r="D249" s="4"/>
    </row>
    <row r="250" customFormat="false" ht="15" hidden="false" customHeight="false" outlineLevel="0" collapsed="false">
      <c r="A250" s="6"/>
      <c r="B250" s="4"/>
      <c r="C250" s="7" t="str">
        <f aca="false">IF(A250="","",TEXT(A250,"MMM-YYYY"))</f>
        <v/>
      </c>
      <c r="D250" s="4"/>
    </row>
    <row r="251" customFormat="false" ht="15" hidden="false" customHeight="false" outlineLevel="0" collapsed="false">
      <c r="A251" s="6"/>
      <c r="B251" s="4"/>
      <c r="C251" s="7" t="str">
        <f aca="false">IF(A251="","",TEXT(A251,"MMM-YYYY"))</f>
        <v/>
      </c>
      <c r="D251" s="4"/>
    </row>
    <row r="252" customFormat="false" ht="15" hidden="false" customHeight="false" outlineLevel="0" collapsed="false">
      <c r="A252" s="6"/>
      <c r="B252" s="4"/>
      <c r="C252" s="7" t="str">
        <f aca="false">IF(A252="","",TEXT(A252,"MMM-YYYY"))</f>
        <v/>
      </c>
      <c r="D252" s="4"/>
    </row>
    <row r="253" customFormat="false" ht="15" hidden="false" customHeight="false" outlineLevel="0" collapsed="false">
      <c r="A253" s="6"/>
      <c r="B253" s="4"/>
      <c r="C253" s="7" t="str">
        <f aca="false">IF(A253="","",TEXT(A253,"MMM-YYYY"))</f>
        <v/>
      </c>
      <c r="D253" s="4"/>
    </row>
    <row r="254" customFormat="false" ht="15" hidden="false" customHeight="false" outlineLevel="0" collapsed="false">
      <c r="A254" s="6"/>
      <c r="B254" s="4"/>
      <c r="C254" s="7" t="str">
        <f aca="false">IF(A254="","",TEXT(A254,"MMM-YYYY"))</f>
        <v/>
      </c>
      <c r="D254" s="4"/>
    </row>
    <row r="255" customFormat="false" ht="15" hidden="false" customHeight="false" outlineLevel="0" collapsed="false">
      <c r="A255" s="6"/>
      <c r="B255" s="4"/>
      <c r="C255" s="7" t="str">
        <f aca="false">IF(A255="","",TEXT(A255,"MMM-YYYY"))</f>
        <v/>
      </c>
      <c r="D255" s="4"/>
    </row>
    <row r="256" customFormat="false" ht="15" hidden="false" customHeight="false" outlineLevel="0" collapsed="false">
      <c r="A256" s="6"/>
      <c r="B256" s="4"/>
      <c r="C256" s="7" t="str">
        <f aca="false">IF(A256="","",TEXT(A256,"MMM-YYYY"))</f>
        <v/>
      </c>
      <c r="D256" s="4"/>
    </row>
    <row r="257" customFormat="false" ht="15" hidden="false" customHeight="false" outlineLevel="0" collapsed="false">
      <c r="A257" s="6"/>
      <c r="B257" s="4"/>
      <c r="C257" s="7" t="str">
        <f aca="false">IF(A257="","",TEXT(A257,"MMM-YYYY"))</f>
        <v/>
      </c>
      <c r="D257" s="4"/>
    </row>
    <row r="258" customFormat="false" ht="15" hidden="false" customHeight="false" outlineLevel="0" collapsed="false">
      <c r="A258" s="6"/>
      <c r="B258" s="4"/>
      <c r="C258" s="7" t="str">
        <f aca="false">IF(A258="","",TEXT(A258,"MMM-YYYY"))</f>
        <v/>
      </c>
      <c r="D258" s="4"/>
    </row>
    <row r="259" customFormat="false" ht="15" hidden="false" customHeight="false" outlineLevel="0" collapsed="false">
      <c r="A259" s="6"/>
      <c r="B259" s="4"/>
      <c r="C259" s="7" t="str">
        <f aca="false">IF(A259="","",TEXT(A259,"MMM-YYYY"))</f>
        <v/>
      </c>
      <c r="D259" s="4"/>
    </row>
    <row r="260" customFormat="false" ht="15" hidden="false" customHeight="false" outlineLevel="0" collapsed="false">
      <c r="A260" s="6"/>
      <c r="B260" s="4"/>
      <c r="C260" s="7" t="str">
        <f aca="false">IF(A260="","",TEXT(A260,"MMM-YYYY"))</f>
        <v/>
      </c>
      <c r="D260" s="4"/>
    </row>
    <row r="261" customFormat="false" ht="15" hidden="false" customHeight="false" outlineLevel="0" collapsed="false">
      <c r="A261" s="6"/>
      <c r="B261" s="4"/>
      <c r="C261" s="7" t="str">
        <f aca="false">IF(A261="","",TEXT(A261,"MMM-YYYY"))</f>
        <v/>
      </c>
      <c r="D261" s="4"/>
    </row>
    <row r="262" customFormat="false" ht="15" hidden="false" customHeight="false" outlineLevel="0" collapsed="false">
      <c r="A262" s="6"/>
      <c r="B262" s="4"/>
      <c r="C262" s="7" t="str">
        <f aca="false">IF(A262="","",TEXT(A262,"MMM-YYYY"))</f>
        <v/>
      </c>
      <c r="D262" s="4"/>
    </row>
    <row r="263" customFormat="false" ht="15" hidden="false" customHeight="false" outlineLevel="0" collapsed="false">
      <c r="A263" s="6"/>
      <c r="B263" s="4"/>
      <c r="C263" s="7" t="str">
        <f aca="false">IF(A263="","",TEXT(A263,"MMM-YYYY"))</f>
        <v/>
      </c>
      <c r="D263" s="4"/>
    </row>
    <row r="264" customFormat="false" ht="15" hidden="false" customHeight="false" outlineLevel="0" collapsed="false">
      <c r="A264" s="6"/>
      <c r="B264" s="4"/>
      <c r="C264" s="7" t="str">
        <f aca="false">IF(A264="","",TEXT(A264,"MMM-YYYY"))</f>
        <v/>
      </c>
      <c r="D264" s="4"/>
    </row>
    <row r="265" customFormat="false" ht="15" hidden="false" customHeight="false" outlineLevel="0" collapsed="false">
      <c r="A265" s="6"/>
      <c r="B265" s="4"/>
      <c r="C265" s="7" t="str">
        <f aca="false">IF(A265="","",TEXT(A265,"MMM-YYYY"))</f>
        <v/>
      </c>
      <c r="D265" s="4"/>
    </row>
    <row r="266" customFormat="false" ht="15" hidden="false" customHeight="false" outlineLevel="0" collapsed="false">
      <c r="A266" s="6"/>
      <c r="B266" s="4"/>
      <c r="C266" s="7" t="str">
        <f aca="false">IF(A266="","",TEXT(A266,"MMM-YYYY"))</f>
        <v/>
      </c>
      <c r="D266" s="4"/>
    </row>
    <row r="267" customFormat="false" ht="15" hidden="false" customHeight="false" outlineLevel="0" collapsed="false">
      <c r="A267" s="6"/>
      <c r="B267" s="4"/>
      <c r="C267" s="7" t="str">
        <f aca="false">IF(A267="","",TEXT(A267,"MMM-YYYY"))</f>
        <v/>
      </c>
      <c r="D267" s="4"/>
    </row>
    <row r="268" customFormat="false" ht="15" hidden="false" customHeight="false" outlineLevel="0" collapsed="false">
      <c r="A268" s="6"/>
      <c r="B268" s="4"/>
      <c r="C268" s="7" t="str">
        <f aca="false">IF(A268="","",TEXT(A268,"MMM-YYYY"))</f>
        <v/>
      </c>
      <c r="D268" s="4"/>
    </row>
    <row r="269" customFormat="false" ht="15" hidden="false" customHeight="false" outlineLevel="0" collapsed="false">
      <c r="A269" s="6"/>
      <c r="B269" s="4"/>
      <c r="C269" s="7" t="str">
        <f aca="false">IF(A269="","",TEXT(A269,"MMM-YYYY"))</f>
        <v/>
      </c>
      <c r="D269" s="4"/>
    </row>
    <row r="270" customFormat="false" ht="15" hidden="false" customHeight="false" outlineLevel="0" collapsed="false">
      <c r="A270" s="6"/>
      <c r="B270" s="4"/>
      <c r="C270" s="7" t="str">
        <f aca="false">IF(A270="","",TEXT(A270,"MMM-YYYY"))</f>
        <v/>
      </c>
      <c r="D270" s="4"/>
    </row>
    <row r="271" customFormat="false" ht="15" hidden="false" customHeight="false" outlineLevel="0" collapsed="false">
      <c r="A271" s="6"/>
      <c r="B271" s="4"/>
      <c r="C271" s="7" t="str">
        <f aca="false">IF(A271="","",TEXT(A271,"MMM-YYYY"))</f>
        <v/>
      </c>
      <c r="D271" s="4"/>
    </row>
    <row r="272" customFormat="false" ht="15" hidden="false" customHeight="false" outlineLevel="0" collapsed="false">
      <c r="A272" s="6"/>
      <c r="B272" s="4"/>
      <c r="C272" s="7" t="str">
        <f aca="false">IF(A272="","",TEXT(A272,"MMM-YYYY"))</f>
        <v/>
      </c>
      <c r="D272" s="4"/>
    </row>
    <row r="273" customFormat="false" ht="15" hidden="false" customHeight="false" outlineLevel="0" collapsed="false">
      <c r="A273" s="6"/>
      <c r="B273" s="4"/>
      <c r="C273" s="7" t="str">
        <f aca="false">IF(A273="","",TEXT(A273,"MMM-YYYY"))</f>
        <v/>
      </c>
      <c r="D273" s="4"/>
    </row>
    <row r="274" customFormat="false" ht="15" hidden="false" customHeight="false" outlineLevel="0" collapsed="false">
      <c r="A274" s="6"/>
      <c r="B274" s="4"/>
      <c r="C274" s="7" t="str">
        <f aca="false">IF(A274="","",TEXT(A274,"MMM-YYYY"))</f>
        <v/>
      </c>
      <c r="D274" s="4"/>
    </row>
    <row r="275" customFormat="false" ht="15" hidden="false" customHeight="false" outlineLevel="0" collapsed="false">
      <c r="A275" s="6"/>
      <c r="B275" s="4"/>
      <c r="C275" s="7" t="str">
        <f aca="false">IF(A275="","",TEXT(A275,"MMM-YYYY"))</f>
        <v/>
      </c>
      <c r="D275" s="4"/>
    </row>
    <row r="276" customFormat="false" ht="15" hidden="false" customHeight="false" outlineLevel="0" collapsed="false">
      <c r="A276" s="6"/>
      <c r="B276" s="4"/>
      <c r="C276" s="7" t="str">
        <f aca="false">IF(A276="","",TEXT(A276,"MMM-YYYY"))</f>
        <v/>
      </c>
      <c r="D276" s="4"/>
    </row>
    <row r="277" customFormat="false" ht="15" hidden="false" customHeight="false" outlineLevel="0" collapsed="false">
      <c r="A277" s="6"/>
      <c r="B277" s="4"/>
      <c r="C277" s="7" t="str">
        <f aca="false">IF(A277="","",TEXT(A277,"MMM-YYYY"))</f>
        <v/>
      </c>
      <c r="D277" s="4"/>
    </row>
    <row r="278" customFormat="false" ht="15" hidden="false" customHeight="false" outlineLevel="0" collapsed="false">
      <c r="A278" s="6"/>
      <c r="B278" s="4"/>
      <c r="C278" s="7" t="str">
        <f aca="false">IF(A278="","",TEXT(A278,"MMM-YYYY"))</f>
        <v/>
      </c>
      <c r="D278" s="4"/>
    </row>
    <row r="279" customFormat="false" ht="15" hidden="false" customHeight="false" outlineLevel="0" collapsed="false">
      <c r="A279" s="6"/>
      <c r="B279" s="4"/>
      <c r="C279" s="7" t="str">
        <f aca="false">IF(A279="","",TEXT(A279,"MMM-YYYY"))</f>
        <v/>
      </c>
      <c r="D279" s="4"/>
    </row>
    <row r="280" customFormat="false" ht="15" hidden="false" customHeight="false" outlineLevel="0" collapsed="false">
      <c r="A280" s="6"/>
      <c r="B280" s="4"/>
      <c r="C280" s="7" t="str">
        <f aca="false">IF(A280="","",TEXT(A280,"MMM-YYYY"))</f>
        <v/>
      </c>
      <c r="D280" s="4"/>
    </row>
    <row r="281" customFormat="false" ht="15" hidden="false" customHeight="false" outlineLevel="0" collapsed="false">
      <c r="A281" s="6"/>
      <c r="B281" s="4"/>
      <c r="C281" s="7" t="str">
        <f aca="false">IF(A281="","",TEXT(A281,"MMM-YYYY"))</f>
        <v/>
      </c>
      <c r="D281" s="4"/>
    </row>
    <row r="282" customFormat="false" ht="15" hidden="false" customHeight="false" outlineLevel="0" collapsed="false">
      <c r="A282" s="6"/>
      <c r="B282" s="4"/>
      <c r="C282" s="7" t="str">
        <f aca="false">IF(A282="","",TEXT(A282,"MMM-YYYY"))</f>
        <v/>
      </c>
      <c r="D282" s="4"/>
    </row>
    <row r="283" customFormat="false" ht="15" hidden="false" customHeight="false" outlineLevel="0" collapsed="false">
      <c r="A283" s="6"/>
      <c r="B283" s="4"/>
      <c r="C283" s="7" t="str">
        <f aca="false">IF(A283="","",TEXT(A283,"MMM-YYYY"))</f>
        <v/>
      </c>
      <c r="D283" s="4"/>
    </row>
    <row r="284" customFormat="false" ht="15" hidden="false" customHeight="false" outlineLevel="0" collapsed="false">
      <c r="A284" s="6"/>
      <c r="B284" s="4"/>
      <c r="C284" s="7" t="str">
        <f aca="false">IF(A284="","",TEXT(A284,"MMM-YYYY"))</f>
        <v/>
      </c>
      <c r="D284" s="4"/>
    </row>
    <row r="285" customFormat="false" ht="15" hidden="false" customHeight="false" outlineLevel="0" collapsed="false">
      <c r="A285" s="6"/>
      <c r="B285" s="4"/>
      <c r="C285" s="7" t="str">
        <f aca="false">IF(A285="","",TEXT(A285,"MMM-YYYY"))</f>
        <v/>
      </c>
      <c r="D285" s="4"/>
    </row>
    <row r="286" customFormat="false" ht="15" hidden="false" customHeight="false" outlineLevel="0" collapsed="false">
      <c r="A286" s="6"/>
      <c r="B286" s="4"/>
      <c r="C286" s="7" t="str">
        <f aca="false">IF(A286="","",TEXT(A286,"MMM-YYYY"))</f>
        <v/>
      </c>
      <c r="D286" s="4"/>
    </row>
    <row r="287" customFormat="false" ht="15" hidden="false" customHeight="false" outlineLevel="0" collapsed="false">
      <c r="A287" s="6"/>
      <c r="B287" s="4"/>
      <c r="C287" s="7" t="str">
        <f aca="false">IF(A287="","",TEXT(A287,"MMM-YYYY"))</f>
        <v/>
      </c>
      <c r="D287" s="4"/>
    </row>
    <row r="288" customFormat="false" ht="15" hidden="false" customHeight="false" outlineLevel="0" collapsed="false">
      <c r="A288" s="6"/>
      <c r="B288" s="4"/>
      <c r="C288" s="7" t="str">
        <f aca="false">IF(A288="","",TEXT(A288,"MMM-YYYY"))</f>
        <v/>
      </c>
      <c r="D288" s="4"/>
    </row>
    <row r="289" customFormat="false" ht="15" hidden="false" customHeight="false" outlineLevel="0" collapsed="false">
      <c r="A289" s="6"/>
      <c r="B289" s="4"/>
      <c r="C289" s="7" t="str">
        <f aca="false">IF(A289="","",TEXT(A289,"MMM-YYYY"))</f>
        <v/>
      </c>
      <c r="D289" s="4"/>
    </row>
    <row r="290" customFormat="false" ht="15" hidden="false" customHeight="false" outlineLevel="0" collapsed="false">
      <c r="A290" s="6"/>
      <c r="B290" s="4"/>
      <c r="C290" s="7" t="str">
        <f aca="false">IF(A290="","",TEXT(A290,"MMM-YYYY"))</f>
        <v/>
      </c>
      <c r="D290" s="4"/>
    </row>
    <row r="291" customFormat="false" ht="15" hidden="false" customHeight="false" outlineLevel="0" collapsed="false">
      <c r="A291" s="6"/>
      <c r="B291" s="4"/>
      <c r="C291" s="7" t="str">
        <f aca="false">IF(A291="","",TEXT(A291,"MMM-YYYY"))</f>
        <v/>
      </c>
      <c r="D291" s="4"/>
    </row>
    <row r="292" customFormat="false" ht="15" hidden="false" customHeight="false" outlineLevel="0" collapsed="false">
      <c r="A292" s="6"/>
      <c r="B292" s="4"/>
      <c r="C292" s="7" t="str">
        <f aca="false">IF(A292="","",TEXT(A292,"MMM-YYYY"))</f>
        <v/>
      </c>
      <c r="D292" s="4"/>
    </row>
    <row r="293" customFormat="false" ht="15" hidden="false" customHeight="false" outlineLevel="0" collapsed="false">
      <c r="A293" s="6"/>
      <c r="B293" s="4"/>
      <c r="C293" s="7" t="str">
        <f aca="false">IF(A293="","",TEXT(A293,"MMM-YYYY"))</f>
        <v/>
      </c>
      <c r="D293" s="4"/>
    </row>
    <row r="294" customFormat="false" ht="15" hidden="false" customHeight="false" outlineLevel="0" collapsed="false">
      <c r="A294" s="6"/>
      <c r="B294" s="4"/>
      <c r="C294" s="7" t="str">
        <f aca="false">IF(A294="","",TEXT(A294,"MMM-YYYY"))</f>
        <v/>
      </c>
      <c r="D294" s="4"/>
    </row>
    <row r="295" customFormat="false" ht="15" hidden="false" customHeight="false" outlineLevel="0" collapsed="false">
      <c r="A295" s="6"/>
      <c r="B295" s="4"/>
      <c r="C295" s="7" t="str">
        <f aca="false">IF(A295="","",TEXT(A295,"MMM-YYYY"))</f>
        <v/>
      </c>
      <c r="D295" s="4"/>
    </row>
    <row r="296" customFormat="false" ht="15" hidden="false" customHeight="false" outlineLevel="0" collapsed="false">
      <c r="A296" s="6"/>
      <c r="B296" s="4"/>
      <c r="C296" s="7" t="str">
        <f aca="false">IF(A296="","",TEXT(A296,"MMM-YYYY"))</f>
        <v/>
      </c>
      <c r="D296" s="4"/>
    </row>
    <row r="297" customFormat="false" ht="15" hidden="false" customHeight="false" outlineLevel="0" collapsed="false">
      <c r="A297" s="6"/>
      <c r="B297" s="4"/>
      <c r="C297" s="7" t="str">
        <f aca="false">IF(A297="","",TEXT(A297,"MMM-YYYY"))</f>
        <v/>
      </c>
      <c r="D297" s="4"/>
    </row>
    <row r="298" customFormat="false" ht="15" hidden="false" customHeight="false" outlineLevel="0" collapsed="false">
      <c r="A298" s="6"/>
      <c r="B298" s="4"/>
      <c r="C298" s="7" t="str">
        <f aca="false">IF(A298="","",TEXT(A298,"MMM-YYYY"))</f>
        <v/>
      </c>
      <c r="D298" s="4"/>
    </row>
    <row r="299" customFormat="false" ht="15" hidden="false" customHeight="false" outlineLevel="0" collapsed="false">
      <c r="A299" s="6"/>
      <c r="B299" s="4"/>
      <c r="C299" s="7" t="str">
        <f aca="false">IF(A299="","",TEXT(A299,"MMM-YYYY"))</f>
        <v/>
      </c>
      <c r="D299" s="4"/>
    </row>
    <row r="300" customFormat="false" ht="15" hidden="false" customHeight="false" outlineLevel="0" collapsed="false">
      <c r="A300" s="6"/>
      <c r="B300" s="4"/>
      <c r="C300" s="7" t="str">
        <f aca="false">IF(A300="","",TEXT(A300,"MMM-YYYY"))</f>
        <v/>
      </c>
      <c r="D300" s="4"/>
    </row>
    <row r="301" customFormat="false" ht="15" hidden="false" customHeight="false" outlineLevel="0" collapsed="false">
      <c r="A301" s="6"/>
      <c r="B301" s="4"/>
      <c r="C301" s="7" t="str">
        <f aca="false">IF(A301="","",TEXT(A301,"MMM-YYYY"))</f>
        <v/>
      </c>
      <c r="D301" s="4"/>
    </row>
    <row r="302" customFormat="false" ht="15" hidden="false" customHeight="false" outlineLevel="0" collapsed="false">
      <c r="A302" s="6"/>
      <c r="B302" s="4"/>
      <c r="C302" s="7" t="str">
        <f aca="false">IF(A302="","",TEXT(A302,"MMM-YYYY"))</f>
        <v/>
      </c>
      <c r="D302" s="4"/>
    </row>
    <row r="303" customFormat="false" ht="15" hidden="false" customHeight="false" outlineLevel="0" collapsed="false">
      <c r="A303" s="6"/>
      <c r="B303" s="4"/>
      <c r="C303" s="7" t="str">
        <f aca="false">IF(A303="","",TEXT(A303,"MMM-YYYY"))</f>
        <v/>
      </c>
      <c r="D303" s="4"/>
    </row>
    <row r="304" customFormat="false" ht="15" hidden="false" customHeight="false" outlineLevel="0" collapsed="false">
      <c r="A304" s="6"/>
      <c r="B304" s="4"/>
      <c r="C304" s="7" t="str">
        <f aca="false">IF(A304="","",TEXT(A304,"MMM-YYYY"))</f>
        <v/>
      </c>
      <c r="D304" s="4"/>
    </row>
    <row r="305" customFormat="false" ht="15" hidden="false" customHeight="false" outlineLevel="0" collapsed="false">
      <c r="A305" s="6"/>
      <c r="B305" s="4"/>
      <c r="C305" s="7" t="str">
        <f aca="false">IF(A305="","",TEXT(A305,"MMM-YYYY"))</f>
        <v/>
      </c>
      <c r="D305" s="4"/>
    </row>
    <row r="306" customFormat="false" ht="15" hidden="false" customHeight="false" outlineLevel="0" collapsed="false">
      <c r="A306" s="6"/>
      <c r="B306" s="4"/>
      <c r="C306" s="7" t="str">
        <f aca="false">IF(A306="","",TEXT(A306,"MMM-YYYY"))</f>
        <v/>
      </c>
      <c r="D306" s="4"/>
    </row>
    <row r="307" customFormat="false" ht="15" hidden="false" customHeight="false" outlineLevel="0" collapsed="false">
      <c r="A307" s="6"/>
      <c r="B307" s="4"/>
      <c r="C307" s="7" t="str">
        <f aca="false">IF(A307="","",TEXT(A307,"MMM-YYYY"))</f>
        <v/>
      </c>
      <c r="D307" s="4"/>
    </row>
    <row r="308" customFormat="false" ht="15" hidden="false" customHeight="false" outlineLevel="0" collapsed="false">
      <c r="A308" s="6"/>
      <c r="B308" s="4"/>
      <c r="C308" s="7" t="str">
        <f aca="false">IF(A308="","",TEXT(A308,"MMM-YYYY"))</f>
        <v/>
      </c>
      <c r="D308" s="4"/>
    </row>
    <row r="309" customFormat="false" ht="15" hidden="false" customHeight="false" outlineLevel="0" collapsed="false">
      <c r="A309" s="6"/>
      <c r="B309" s="4"/>
      <c r="C309" s="7" t="str">
        <f aca="false">IF(A309="","",TEXT(A309,"MMM-YYYY"))</f>
        <v/>
      </c>
      <c r="D309" s="4"/>
    </row>
    <row r="310" customFormat="false" ht="15" hidden="false" customHeight="false" outlineLevel="0" collapsed="false">
      <c r="A310" s="6"/>
      <c r="B310" s="4"/>
      <c r="C310" s="7" t="str">
        <f aca="false">IF(A310="","",TEXT(A310,"MMM-YYYY"))</f>
        <v/>
      </c>
      <c r="D310" s="4"/>
    </row>
    <row r="311" customFormat="false" ht="15" hidden="false" customHeight="false" outlineLevel="0" collapsed="false">
      <c r="A311" s="6"/>
      <c r="B311" s="4"/>
      <c r="C311" s="7" t="str">
        <f aca="false">IF(A311="","",TEXT(A311,"MMM-YYYY"))</f>
        <v/>
      </c>
      <c r="D311" s="4"/>
    </row>
    <row r="312" customFormat="false" ht="15" hidden="false" customHeight="false" outlineLevel="0" collapsed="false">
      <c r="A312" s="6"/>
      <c r="B312" s="4"/>
      <c r="C312" s="7" t="str">
        <f aca="false">IF(A312="","",TEXT(A312,"MMM-YYYY"))</f>
        <v/>
      </c>
      <c r="D312" s="4"/>
    </row>
    <row r="313" customFormat="false" ht="15" hidden="false" customHeight="false" outlineLevel="0" collapsed="false">
      <c r="A313" s="6"/>
      <c r="B313" s="4"/>
      <c r="C313" s="7" t="str">
        <f aca="false">IF(A313="","",TEXT(A313,"MMM-YYYY"))</f>
        <v/>
      </c>
      <c r="D313" s="4"/>
    </row>
    <row r="314" customFormat="false" ht="15" hidden="false" customHeight="false" outlineLevel="0" collapsed="false">
      <c r="A314" s="6"/>
      <c r="B314" s="4"/>
      <c r="C314" s="7" t="str">
        <f aca="false">IF(A314="","",TEXT(A314,"MMM-YYYY"))</f>
        <v/>
      </c>
      <c r="D314" s="4"/>
    </row>
    <row r="315" customFormat="false" ht="15" hidden="false" customHeight="false" outlineLevel="0" collapsed="false">
      <c r="A315" s="6"/>
      <c r="B315" s="4"/>
      <c r="C315" s="7" t="str">
        <f aca="false">IF(A315="","",TEXT(A315,"MMM-YYYY"))</f>
        <v/>
      </c>
      <c r="D315" s="4"/>
    </row>
    <row r="316" customFormat="false" ht="15" hidden="false" customHeight="false" outlineLevel="0" collapsed="false">
      <c r="A316" s="6"/>
      <c r="B316" s="4"/>
      <c r="C316" s="7" t="str">
        <f aca="false">IF(A316="","",TEXT(A316,"MMM-YYYY"))</f>
        <v/>
      </c>
      <c r="D316" s="4"/>
    </row>
    <row r="317" customFormat="false" ht="15" hidden="false" customHeight="false" outlineLevel="0" collapsed="false">
      <c r="A317" s="6"/>
      <c r="B317" s="4"/>
      <c r="C317" s="7" t="str">
        <f aca="false">IF(A317="","",TEXT(A317,"MMM-YYYY"))</f>
        <v/>
      </c>
      <c r="D317" s="4"/>
    </row>
    <row r="318" customFormat="false" ht="15" hidden="false" customHeight="false" outlineLevel="0" collapsed="false">
      <c r="A318" s="6"/>
      <c r="B318" s="4"/>
      <c r="C318" s="7" t="str">
        <f aca="false">IF(A318="","",TEXT(A318,"MMM-YYYY"))</f>
        <v/>
      </c>
      <c r="D318" s="4"/>
    </row>
    <row r="319" customFormat="false" ht="15" hidden="false" customHeight="false" outlineLevel="0" collapsed="false">
      <c r="A319" s="6"/>
      <c r="B319" s="4"/>
      <c r="C319" s="7" t="str">
        <f aca="false">IF(A319="","",TEXT(A319,"MMM-YYYY"))</f>
        <v/>
      </c>
      <c r="D319" s="4"/>
    </row>
    <row r="320" customFormat="false" ht="15" hidden="false" customHeight="false" outlineLevel="0" collapsed="false">
      <c r="A320" s="6"/>
      <c r="B320" s="4"/>
      <c r="C320" s="7" t="str">
        <f aca="false">IF(A320="","",TEXT(A320,"MMM-YYYY"))</f>
        <v/>
      </c>
      <c r="D320" s="4"/>
    </row>
    <row r="321" customFormat="false" ht="15" hidden="false" customHeight="false" outlineLevel="0" collapsed="false">
      <c r="A321" s="6"/>
      <c r="B321" s="4"/>
      <c r="C321" s="7" t="str">
        <f aca="false">IF(A321="","",TEXT(A321,"MMM-YYYY"))</f>
        <v/>
      </c>
      <c r="D321" s="4"/>
    </row>
    <row r="322" customFormat="false" ht="15" hidden="false" customHeight="false" outlineLevel="0" collapsed="false">
      <c r="A322" s="6"/>
      <c r="B322" s="4"/>
      <c r="C322" s="7" t="str">
        <f aca="false">IF(A322="","",TEXT(A322,"MMM-YYYY"))</f>
        <v/>
      </c>
      <c r="D322" s="4"/>
    </row>
    <row r="323" customFormat="false" ht="15" hidden="false" customHeight="false" outlineLevel="0" collapsed="false">
      <c r="A323" s="6"/>
      <c r="B323" s="4"/>
      <c r="C323" s="7" t="str">
        <f aca="false">IF(A323="","",TEXT(A323,"MMM-YYYY"))</f>
        <v/>
      </c>
      <c r="D323" s="4"/>
    </row>
    <row r="324" customFormat="false" ht="15" hidden="false" customHeight="false" outlineLevel="0" collapsed="false">
      <c r="A324" s="6"/>
      <c r="B324" s="4"/>
      <c r="C324" s="7" t="str">
        <f aca="false">IF(A324="","",TEXT(A324,"MMM-YYYY"))</f>
        <v/>
      </c>
      <c r="D324" s="4"/>
    </row>
    <row r="325" customFormat="false" ht="15" hidden="false" customHeight="false" outlineLevel="0" collapsed="false">
      <c r="A325" s="6"/>
      <c r="B325" s="4"/>
      <c r="C325" s="7" t="str">
        <f aca="false">IF(A325="","",TEXT(A325,"MMM-YYYY"))</f>
        <v/>
      </c>
      <c r="D325" s="4"/>
    </row>
    <row r="326" customFormat="false" ht="15" hidden="false" customHeight="false" outlineLevel="0" collapsed="false">
      <c r="A326" s="6"/>
      <c r="B326" s="4"/>
      <c r="C326" s="7" t="str">
        <f aca="false">IF(A326="","",TEXT(A326,"MMM-YYYY"))</f>
        <v/>
      </c>
      <c r="D326" s="4"/>
    </row>
    <row r="327" customFormat="false" ht="15" hidden="false" customHeight="false" outlineLevel="0" collapsed="false">
      <c r="A327" s="6"/>
      <c r="B327" s="4"/>
      <c r="C327" s="7" t="str">
        <f aca="false">IF(A327="","",TEXT(A327,"MMM-YYYY"))</f>
        <v/>
      </c>
      <c r="D327" s="4"/>
    </row>
    <row r="328" customFormat="false" ht="15" hidden="false" customHeight="false" outlineLevel="0" collapsed="false">
      <c r="A328" s="6"/>
      <c r="B328" s="4"/>
      <c r="C328" s="7" t="str">
        <f aca="false">IF(A328="","",TEXT(A328,"MMM-YYYY"))</f>
        <v/>
      </c>
      <c r="D328" s="4"/>
    </row>
    <row r="329" customFormat="false" ht="15" hidden="false" customHeight="false" outlineLevel="0" collapsed="false">
      <c r="A329" s="6"/>
      <c r="B329" s="4"/>
      <c r="C329" s="7" t="str">
        <f aca="false">IF(A329="","",TEXT(A329,"MMM-YYYY"))</f>
        <v/>
      </c>
      <c r="D329" s="4"/>
    </row>
    <row r="330" customFormat="false" ht="15" hidden="false" customHeight="false" outlineLevel="0" collapsed="false">
      <c r="A330" s="6"/>
      <c r="B330" s="4"/>
      <c r="C330" s="7" t="str">
        <f aca="false">IF(A330="","",TEXT(A330,"MMM-YYYY"))</f>
        <v/>
      </c>
      <c r="D330" s="4"/>
    </row>
    <row r="331" customFormat="false" ht="15" hidden="false" customHeight="false" outlineLevel="0" collapsed="false">
      <c r="A331" s="6"/>
      <c r="B331" s="4"/>
      <c r="C331" s="7" t="str">
        <f aca="false">IF(A331="","",TEXT(A331,"MMM-YYYY"))</f>
        <v/>
      </c>
      <c r="D331" s="4"/>
    </row>
    <row r="332" customFormat="false" ht="15" hidden="false" customHeight="false" outlineLevel="0" collapsed="false">
      <c r="A332" s="6"/>
      <c r="B332" s="4"/>
      <c r="C332" s="7" t="str">
        <f aca="false">IF(A332="","",TEXT(A332,"MMM-YYYY"))</f>
        <v/>
      </c>
      <c r="D332" s="4"/>
    </row>
    <row r="333" customFormat="false" ht="15" hidden="false" customHeight="false" outlineLevel="0" collapsed="false">
      <c r="A333" s="6"/>
      <c r="B333" s="4"/>
      <c r="C333" s="7" t="str">
        <f aca="false">IF(A333="","",TEXT(A333,"MMM-YYYY"))</f>
        <v/>
      </c>
      <c r="D333" s="4"/>
    </row>
    <row r="334" customFormat="false" ht="15" hidden="false" customHeight="false" outlineLevel="0" collapsed="false">
      <c r="A334" s="6"/>
      <c r="B334" s="4"/>
      <c r="C334" s="7" t="str">
        <f aca="false">IF(A334="","",TEXT(A334,"MMM-YYYY"))</f>
        <v/>
      </c>
      <c r="D334" s="4"/>
    </row>
    <row r="335" customFormat="false" ht="15" hidden="false" customHeight="false" outlineLevel="0" collapsed="false">
      <c r="A335" s="6"/>
      <c r="B335" s="4"/>
      <c r="C335" s="7" t="str">
        <f aca="false">IF(A335="","",TEXT(A335,"MMM-YYYY"))</f>
        <v/>
      </c>
      <c r="D335" s="4"/>
    </row>
    <row r="336" customFormat="false" ht="15" hidden="false" customHeight="false" outlineLevel="0" collapsed="false">
      <c r="A336" s="6"/>
      <c r="B336" s="4"/>
      <c r="C336" s="7" t="str">
        <f aca="false">IF(A336="","",TEXT(A336,"MMM-YYYY"))</f>
        <v/>
      </c>
      <c r="D336" s="4"/>
    </row>
    <row r="337" customFormat="false" ht="15" hidden="false" customHeight="false" outlineLevel="0" collapsed="false">
      <c r="A337" s="6"/>
      <c r="B337" s="4"/>
      <c r="C337" s="7" t="str">
        <f aca="false">IF(A337="","",TEXT(A337,"MMM-YYYY"))</f>
        <v/>
      </c>
      <c r="D337" s="4"/>
    </row>
    <row r="338" customFormat="false" ht="15" hidden="false" customHeight="false" outlineLevel="0" collapsed="false">
      <c r="A338" s="6"/>
      <c r="B338" s="4"/>
      <c r="C338" s="7" t="str">
        <f aca="false">IF(A338="","",TEXT(A338,"MMM-YYYY"))</f>
        <v/>
      </c>
      <c r="D338" s="4"/>
    </row>
    <row r="339" customFormat="false" ht="15" hidden="false" customHeight="false" outlineLevel="0" collapsed="false">
      <c r="A339" s="6"/>
      <c r="B339" s="4"/>
      <c r="C339" s="7" t="str">
        <f aca="false">IF(A339="","",TEXT(A339,"MMM-YYYY"))</f>
        <v/>
      </c>
      <c r="D339" s="4"/>
    </row>
    <row r="340" customFormat="false" ht="15" hidden="false" customHeight="false" outlineLevel="0" collapsed="false">
      <c r="A340" s="6"/>
      <c r="B340" s="4"/>
      <c r="C340" s="7" t="str">
        <f aca="false">IF(A340="","",TEXT(A340,"MMM-YYYY"))</f>
        <v/>
      </c>
      <c r="D340" s="4"/>
    </row>
    <row r="341" customFormat="false" ht="15" hidden="false" customHeight="false" outlineLevel="0" collapsed="false">
      <c r="A341" s="6"/>
      <c r="B341" s="4"/>
      <c r="C341" s="7" t="str">
        <f aca="false">IF(A341="","",TEXT(A341,"MMM-YYYY"))</f>
        <v/>
      </c>
      <c r="D341" s="4"/>
    </row>
    <row r="342" customFormat="false" ht="15" hidden="false" customHeight="false" outlineLevel="0" collapsed="false">
      <c r="A342" s="6"/>
      <c r="B342" s="4"/>
      <c r="C342" s="7" t="str">
        <f aca="false">IF(A342="","",TEXT(A342,"MMM-YYYY"))</f>
        <v/>
      </c>
      <c r="D342" s="4"/>
    </row>
    <row r="343" customFormat="false" ht="15" hidden="false" customHeight="false" outlineLevel="0" collapsed="false">
      <c r="A343" s="6"/>
      <c r="B343" s="4"/>
      <c r="C343" s="7" t="str">
        <f aca="false">IF(A343="","",TEXT(A343,"MMM-YYYY"))</f>
        <v/>
      </c>
      <c r="D343" s="4"/>
    </row>
    <row r="344" customFormat="false" ht="15" hidden="false" customHeight="false" outlineLevel="0" collapsed="false">
      <c r="A344" s="6"/>
      <c r="B344" s="4"/>
      <c r="C344" s="7" t="str">
        <f aca="false">IF(A344="","",TEXT(A344,"MMM-YYYY"))</f>
        <v/>
      </c>
      <c r="D344" s="4"/>
    </row>
    <row r="345" customFormat="false" ht="15" hidden="false" customHeight="false" outlineLevel="0" collapsed="false">
      <c r="A345" s="6"/>
      <c r="B345" s="4"/>
      <c r="C345" s="7" t="str">
        <f aca="false">IF(A345="","",TEXT(A345,"MMM-YYYY"))</f>
        <v/>
      </c>
      <c r="D345" s="4"/>
    </row>
    <row r="346" customFormat="false" ht="15" hidden="false" customHeight="false" outlineLevel="0" collapsed="false">
      <c r="A346" s="6"/>
      <c r="B346" s="4"/>
      <c r="C346" s="7" t="str">
        <f aca="false">IF(A346="","",TEXT(A346,"MMM-YYYY"))</f>
        <v/>
      </c>
      <c r="D346" s="4"/>
    </row>
    <row r="347" customFormat="false" ht="15" hidden="false" customHeight="false" outlineLevel="0" collapsed="false">
      <c r="A347" s="6"/>
      <c r="B347" s="4"/>
      <c r="C347" s="7" t="str">
        <f aca="false">IF(A347="","",TEXT(A347,"MMM-YYYY"))</f>
        <v/>
      </c>
      <c r="D347" s="4"/>
    </row>
    <row r="348" customFormat="false" ht="15" hidden="false" customHeight="false" outlineLevel="0" collapsed="false">
      <c r="A348" s="6"/>
      <c r="B348" s="4"/>
      <c r="C348" s="7" t="str">
        <f aca="false">IF(A348="","",TEXT(A348,"MMM-YYYY"))</f>
        <v/>
      </c>
      <c r="D348" s="4"/>
    </row>
    <row r="349" customFormat="false" ht="15" hidden="false" customHeight="false" outlineLevel="0" collapsed="false">
      <c r="A349" s="6"/>
      <c r="B349" s="4"/>
      <c r="C349" s="7" t="str">
        <f aca="false">IF(A349="","",TEXT(A349,"MMM-YYYY"))</f>
        <v/>
      </c>
      <c r="D349" s="4"/>
    </row>
    <row r="350" customFormat="false" ht="15" hidden="false" customHeight="false" outlineLevel="0" collapsed="false">
      <c r="A350" s="6"/>
      <c r="B350" s="4"/>
      <c r="C350" s="7" t="str">
        <f aca="false">IF(A350="","",TEXT(A350,"MMM-YYYY"))</f>
        <v/>
      </c>
      <c r="D350" s="4"/>
    </row>
    <row r="351" customFormat="false" ht="15" hidden="false" customHeight="false" outlineLevel="0" collapsed="false">
      <c r="A351" s="6"/>
      <c r="B351" s="4"/>
      <c r="C351" s="7" t="str">
        <f aca="false">IF(A351="","",TEXT(A351,"MMM-YYYY"))</f>
        <v/>
      </c>
      <c r="D351" s="4"/>
    </row>
    <row r="352" customFormat="false" ht="15" hidden="false" customHeight="false" outlineLevel="0" collapsed="false">
      <c r="A352" s="6"/>
      <c r="B352" s="4"/>
      <c r="C352" s="7" t="str">
        <f aca="false">IF(A352="","",TEXT(A352,"MMM-YYYY"))</f>
        <v/>
      </c>
      <c r="D352" s="4"/>
    </row>
    <row r="353" customFormat="false" ht="15" hidden="false" customHeight="false" outlineLevel="0" collapsed="false">
      <c r="A353" s="6"/>
      <c r="B353" s="4"/>
      <c r="C353" s="7" t="str">
        <f aca="false">IF(A353="","",TEXT(A353,"MMM-YYYY"))</f>
        <v/>
      </c>
      <c r="D353" s="4"/>
    </row>
    <row r="354" customFormat="false" ht="15" hidden="false" customHeight="false" outlineLevel="0" collapsed="false">
      <c r="A354" s="6"/>
      <c r="B354" s="4"/>
      <c r="C354" s="7" t="str">
        <f aca="false">IF(A354="","",TEXT(A354,"MMM-YYYY"))</f>
        <v/>
      </c>
      <c r="D354" s="4"/>
    </row>
    <row r="355" customFormat="false" ht="15" hidden="false" customHeight="false" outlineLevel="0" collapsed="false">
      <c r="A355" s="6"/>
      <c r="B355" s="4"/>
      <c r="C355" s="7" t="str">
        <f aca="false">IF(A355="","",TEXT(A355,"MMM-YYYY"))</f>
        <v/>
      </c>
      <c r="D355" s="4"/>
    </row>
    <row r="356" customFormat="false" ht="15" hidden="false" customHeight="false" outlineLevel="0" collapsed="false">
      <c r="A356" s="6"/>
      <c r="B356" s="4"/>
      <c r="C356" s="7" t="str">
        <f aca="false">IF(A356="","",TEXT(A356,"MMM-YYYY"))</f>
        <v/>
      </c>
      <c r="D356" s="4"/>
    </row>
    <row r="357" customFormat="false" ht="15" hidden="false" customHeight="false" outlineLevel="0" collapsed="false">
      <c r="A357" s="6"/>
      <c r="B357" s="4"/>
      <c r="C357" s="7" t="str">
        <f aca="false">IF(A357="","",TEXT(A357,"MMM-YYYY"))</f>
        <v/>
      </c>
      <c r="D357" s="4"/>
    </row>
    <row r="358" customFormat="false" ht="15" hidden="false" customHeight="false" outlineLevel="0" collapsed="false">
      <c r="A358" s="6"/>
      <c r="B358" s="4"/>
      <c r="C358" s="7" t="str">
        <f aca="false">IF(A358="","",TEXT(A358,"MMM-YYYY"))</f>
        <v/>
      </c>
      <c r="D358" s="4"/>
    </row>
    <row r="359" customFormat="false" ht="15" hidden="false" customHeight="false" outlineLevel="0" collapsed="false">
      <c r="A359" s="6"/>
      <c r="B359" s="4"/>
      <c r="C359" s="7" t="str">
        <f aca="false">IF(A359="","",TEXT(A359,"MMM-YYYY"))</f>
        <v/>
      </c>
      <c r="D359" s="4"/>
    </row>
    <row r="360" customFormat="false" ht="15" hidden="false" customHeight="false" outlineLevel="0" collapsed="false">
      <c r="A360" s="6"/>
      <c r="B360" s="4"/>
      <c r="C360" s="7" t="str">
        <f aca="false">IF(A360="","",TEXT(A360,"MMM-YYYY"))</f>
        <v/>
      </c>
      <c r="D360" s="4"/>
    </row>
    <row r="361" customFormat="false" ht="15" hidden="false" customHeight="false" outlineLevel="0" collapsed="false">
      <c r="A361" s="6"/>
      <c r="B361" s="4"/>
      <c r="C361" s="7" t="str">
        <f aca="false">IF(A361="","",TEXT(A361,"MMM-YYYY"))</f>
        <v/>
      </c>
      <c r="D361" s="4"/>
    </row>
    <row r="362" customFormat="false" ht="15" hidden="false" customHeight="false" outlineLevel="0" collapsed="false">
      <c r="A362" s="6"/>
      <c r="B362" s="4"/>
      <c r="C362" s="7" t="str">
        <f aca="false">IF(A362="","",TEXT(A362,"MMM-YYYY"))</f>
        <v/>
      </c>
      <c r="D362" s="4"/>
    </row>
    <row r="363" customFormat="false" ht="15" hidden="false" customHeight="false" outlineLevel="0" collapsed="false">
      <c r="A363" s="6"/>
      <c r="B363" s="4"/>
      <c r="C363" s="7" t="str">
        <f aca="false">IF(A363="","",TEXT(A363,"MMM-YYYY"))</f>
        <v/>
      </c>
      <c r="D363" s="4"/>
    </row>
    <row r="364" customFormat="false" ht="15" hidden="false" customHeight="false" outlineLevel="0" collapsed="false">
      <c r="A364" s="6"/>
      <c r="B364" s="4"/>
      <c r="C364" s="7" t="str">
        <f aca="false">IF(A364="","",TEXT(A364,"MMM-YYYY"))</f>
        <v/>
      </c>
      <c r="D364" s="4"/>
    </row>
    <row r="365" customFormat="false" ht="15" hidden="false" customHeight="false" outlineLevel="0" collapsed="false">
      <c r="A365" s="6"/>
      <c r="B365" s="4"/>
      <c r="C365" s="7" t="str">
        <f aca="false">IF(A365="","",TEXT(A365,"MMM-YYYY"))</f>
        <v/>
      </c>
      <c r="D365" s="4"/>
    </row>
    <row r="366" customFormat="false" ht="15" hidden="false" customHeight="false" outlineLevel="0" collapsed="false">
      <c r="A366" s="6"/>
      <c r="B366" s="4"/>
      <c r="C366" s="7" t="str">
        <f aca="false">IF(A366="","",TEXT(A366,"MMM-YYYY"))</f>
        <v/>
      </c>
      <c r="D366" s="4"/>
    </row>
    <row r="367" customFormat="false" ht="15" hidden="false" customHeight="false" outlineLevel="0" collapsed="false">
      <c r="A367" s="6"/>
      <c r="B367" s="4"/>
      <c r="C367" s="7" t="str">
        <f aca="false">IF(A367="","",TEXT(A367,"MMM-YYYY"))</f>
        <v/>
      </c>
      <c r="D367" s="4"/>
    </row>
    <row r="368" customFormat="false" ht="15" hidden="false" customHeight="false" outlineLevel="0" collapsed="false">
      <c r="A368" s="6"/>
      <c r="B368" s="4"/>
      <c r="C368" s="7" t="str">
        <f aca="false">IF(A368="","",TEXT(A368,"MMM-YYYY"))</f>
        <v/>
      </c>
      <c r="D368" s="4"/>
    </row>
    <row r="369" customFormat="false" ht="15" hidden="false" customHeight="false" outlineLevel="0" collapsed="false">
      <c r="A369" s="6"/>
      <c r="B369" s="4"/>
      <c r="C369" s="7" t="str">
        <f aca="false">IF(A369="","",TEXT(A369,"MMM-YYYY"))</f>
        <v/>
      </c>
      <c r="D369" s="4"/>
    </row>
    <row r="370" customFormat="false" ht="15" hidden="false" customHeight="false" outlineLevel="0" collapsed="false">
      <c r="A370" s="6"/>
      <c r="B370" s="4"/>
      <c r="C370" s="7" t="str">
        <f aca="false">IF(A370="","",TEXT(A370,"MMM-YYYY"))</f>
        <v/>
      </c>
      <c r="D370" s="4"/>
    </row>
    <row r="371" customFormat="false" ht="15" hidden="false" customHeight="false" outlineLevel="0" collapsed="false">
      <c r="A371" s="6"/>
      <c r="B371" s="4"/>
      <c r="C371" s="7" t="str">
        <f aca="false">IF(A371="","",TEXT(A371,"MMM-YYYY"))</f>
        <v/>
      </c>
      <c r="D371" s="4"/>
    </row>
    <row r="372" customFormat="false" ht="15" hidden="false" customHeight="false" outlineLevel="0" collapsed="false">
      <c r="A372" s="6"/>
      <c r="B372" s="4"/>
      <c r="C372" s="7" t="str">
        <f aca="false">IF(A372="","",TEXT(A372,"MMM-YYYY"))</f>
        <v/>
      </c>
      <c r="D372" s="4"/>
    </row>
    <row r="373" customFormat="false" ht="15" hidden="false" customHeight="false" outlineLevel="0" collapsed="false">
      <c r="A373" s="6"/>
      <c r="B373" s="4"/>
      <c r="C373" s="7" t="str">
        <f aca="false">IF(A373="","",TEXT(A373,"MMM-YYYY"))</f>
        <v/>
      </c>
      <c r="D373" s="4"/>
    </row>
    <row r="374" customFormat="false" ht="15" hidden="false" customHeight="false" outlineLevel="0" collapsed="false">
      <c r="A374" s="6"/>
      <c r="B374" s="4"/>
      <c r="C374" s="7" t="str">
        <f aca="false">IF(A374="","",TEXT(A374,"MMM-YYYY"))</f>
        <v/>
      </c>
      <c r="D374" s="4"/>
    </row>
    <row r="375" customFormat="false" ht="15" hidden="false" customHeight="false" outlineLevel="0" collapsed="false">
      <c r="A375" s="6"/>
      <c r="B375" s="4"/>
      <c r="C375" s="7" t="str">
        <f aca="false">IF(A375="","",TEXT(A375,"MMM-YYYY"))</f>
        <v/>
      </c>
      <c r="D375" s="4"/>
    </row>
    <row r="376" customFormat="false" ht="15" hidden="false" customHeight="false" outlineLevel="0" collapsed="false">
      <c r="A376" s="6"/>
      <c r="B376" s="4"/>
      <c r="C376" s="7" t="str">
        <f aca="false">IF(A376="","",TEXT(A376,"MMM-YYYY"))</f>
        <v/>
      </c>
      <c r="D376" s="4"/>
    </row>
    <row r="377" customFormat="false" ht="15" hidden="false" customHeight="false" outlineLevel="0" collapsed="false">
      <c r="A377" s="6"/>
      <c r="B377" s="4"/>
      <c r="C377" s="7" t="str">
        <f aca="false">IF(A377="","",TEXT(A377,"MMM-YYYY"))</f>
        <v/>
      </c>
      <c r="D377" s="4"/>
    </row>
    <row r="378" customFormat="false" ht="15" hidden="false" customHeight="false" outlineLevel="0" collapsed="false">
      <c r="A378" s="6"/>
      <c r="B378" s="4"/>
      <c r="C378" s="7" t="str">
        <f aca="false">IF(A378="","",TEXT(A378,"MMM-YYYY"))</f>
        <v/>
      </c>
      <c r="D378" s="4"/>
    </row>
    <row r="379" customFormat="false" ht="15" hidden="false" customHeight="false" outlineLevel="0" collapsed="false">
      <c r="A379" s="6"/>
      <c r="B379" s="4"/>
      <c r="C379" s="7" t="str">
        <f aca="false">IF(A379="","",TEXT(A379,"MMM-YYYY"))</f>
        <v/>
      </c>
      <c r="D379" s="4"/>
    </row>
    <row r="380" customFormat="false" ht="15" hidden="false" customHeight="false" outlineLevel="0" collapsed="false">
      <c r="A380" s="6"/>
      <c r="B380" s="4"/>
      <c r="C380" s="7" t="str">
        <f aca="false">IF(A380="","",TEXT(A380,"MMM-YYYY"))</f>
        <v/>
      </c>
      <c r="D380" s="4"/>
    </row>
    <row r="381" customFormat="false" ht="15" hidden="false" customHeight="false" outlineLevel="0" collapsed="false">
      <c r="A381" s="6"/>
      <c r="B381" s="4"/>
      <c r="C381" s="7" t="str">
        <f aca="false">IF(A381="","",TEXT(A381,"MMM-YYYY"))</f>
        <v/>
      </c>
      <c r="D381" s="4"/>
    </row>
    <row r="382" customFormat="false" ht="15" hidden="false" customHeight="false" outlineLevel="0" collapsed="false">
      <c r="A382" s="6"/>
      <c r="B382" s="4"/>
      <c r="C382" s="7" t="str">
        <f aca="false">IF(A382="","",TEXT(A382,"MMM-YYYY"))</f>
        <v/>
      </c>
      <c r="D382" s="4"/>
    </row>
    <row r="383" customFormat="false" ht="15" hidden="false" customHeight="false" outlineLevel="0" collapsed="false">
      <c r="A383" s="6"/>
      <c r="B383" s="4"/>
      <c r="C383" s="7" t="str">
        <f aca="false">IF(A383="","",TEXT(A383,"MMM-YYYY"))</f>
        <v/>
      </c>
      <c r="D383" s="4"/>
    </row>
    <row r="384" customFormat="false" ht="15" hidden="false" customHeight="false" outlineLevel="0" collapsed="false">
      <c r="A384" s="6"/>
      <c r="B384" s="4"/>
      <c r="C384" s="7" t="str">
        <f aca="false">IF(A384="","",TEXT(A384,"MMM-YYYY"))</f>
        <v/>
      </c>
      <c r="D384" s="4"/>
    </row>
    <row r="385" customFormat="false" ht="15" hidden="false" customHeight="false" outlineLevel="0" collapsed="false">
      <c r="A385" s="6"/>
      <c r="B385" s="4"/>
      <c r="C385" s="7" t="str">
        <f aca="false">IF(A385="","",TEXT(A385,"MMM-YYYY"))</f>
        <v/>
      </c>
      <c r="D385" s="4"/>
    </row>
    <row r="386" customFormat="false" ht="15" hidden="false" customHeight="false" outlineLevel="0" collapsed="false">
      <c r="A386" s="6"/>
      <c r="B386" s="4"/>
      <c r="C386" s="7" t="str">
        <f aca="false">IF(A386="","",TEXT(A386,"MMM-YYYY"))</f>
        <v/>
      </c>
      <c r="D386" s="4"/>
    </row>
    <row r="387" customFormat="false" ht="15" hidden="false" customHeight="false" outlineLevel="0" collapsed="false">
      <c r="A387" s="6"/>
      <c r="B387" s="4"/>
      <c r="C387" s="7" t="str">
        <f aca="false">IF(A387="","",TEXT(A387,"MMM-YYYY"))</f>
        <v/>
      </c>
      <c r="D387" s="4"/>
    </row>
    <row r="388" customFormat="false" ht="15" hidden="false" customHeight="false" outlineLevel="0" collapsed="false">
      <c r="A388" s="6"/>
      <c r="B388" s="4"/>
      <c r="C388" s="7" t="str">
        <f aca="false">IF(A388="","",TEXT(A388,"MMM-YYYY"))</f>
        <v/>
      </c>
      <c r="D388" s="4"/>
    </row>
    <row r="389" customFormat="false" ht="15" hidden="false" customHeight="false" outlineLevel="0" collapsed="false">
      <c r="A389" s="6"/>
      <c r="B389" s="4"/>
      <c r="C389" s="7" t="str">
        <f aca="false">IF(A389="","",TEXT(A389,"MMM-YYYY"))</f>
        <v/>
      </c>
      <c r="D389" s="4"/>
    </row>
    <row r="390" customFormat="false" ht="15" hidden="false" customHeight="false" outlineLevel="0" collapsed="false">
      <c r="A390" s="6"/>
      <c r="B390" s="4"/>
      <c r="C390" s="7" t="str">
        <f aca="false">IF(A390="","",TEXT(A390,"MMM-YYYY"))</f>
        <v/>
      </c>
      <c r="D390" s="4"/>
    </row>
    <row r="391" customFormat="false" ht="15" hidden="false" customHeight="false" outlineLevel="0" collapsed="false">
      <c r="A391" s="6"/>
      <c r="B391" s="4"/>
      <c r="C391" s="7" t="str">
        <f aca="false">IF(A391="","",TEXT(A391,"MMM-YYYY"))</f>
        <v/>
      </c>
      <c r="D391" s="4"/>
    </row>
    <row r="392" customFormat="false" ht="15" hidden="false" customHeight="false" outlineLevel="0" collapsed="false">
      <c r="A392" s="6"/>
      <c r="B392" s="4"/>
      <c r="C392" s="7" t="str">
        <f aca="false">IF(A392="","",TEXT(A392,"MMM-YYYY"))</f>
        <v/>
      </c>
      <c r="D392" s="4"/>
    </row>
    <row r="393" customFormat="false" ht="15" hidden="false" customHeight="false" outlineLevel="0" collapsed="false">
      <c r="A393" s="6"/>
      <c r="B393" s="4"/>
      <c r="C393" s="7" t="str">
        <f aca="false">IF(A393="","",TEXT(A393,"MMM-YYYY"))</f>
        <v/>
      </c>
      <c r="D393" s="4"/>
    </row>
    <row r="394" customFormat="false" ht="15" hidden="false" customHeight="false" outlineLevel="0" collapsed="false">
      <c r="A394" s="6"/>
      <c r="B394" s="4"/>
      <c r="C394" s="7" t="str">
        <f aca="false">IF(A394="","",TEXT(A394,"MMM-YYYY"))</f>
        <v/>
      </c>
      <c r="D394" s="4"/>
    </row>
    <row r="395" customFormat="false" ht="15" hidden="false" customHeight="false" outlineLevel="0" collapsed="false">
      <c r="A395" s="6"/>
      <c r="B395" s="4"/>
      <c r="C395" s="7" t="str">
        <f aca="false">IF(A395="","",TEXT(A395,"MMM-YYYY"))</f>
        <v/>
      </c>
      <c r="D395" s="4"/>
    </row>
    <row r="396" customFormat="false" ht="15" hidden="false" customHeight="false" outlineLevel="0" collapsed="false">
      <c r="A396" s="6"/>
      <c r="B396" s="4"/>
      <c r="C396" s="7" t="str">
        <f aca="false">IF(A396="","",TEXT(A396,"MMM-YYYY"))</f>
        <v/>
      </c>
      <c r="D396" s="4"/>
    </row>
    <row r="397" customFormat="false" ht="15" hidden="false" customHeight="false" outlineLevel="0" collapsed="false">
      <c r="A397" s="6"/>
      <c r="B397" s="4"/>
      <c r="C397" s="7" t="str">
        <f aca="false">IF(A397="","",TEXT(A397,"MMM-YYYY"))</f>
        <v/>
      </c>
      <c r="D397" s="4"/>
    </row>
    <row r="398" customFormat="false" ht="15" hidden="false" customHeight="false" outlineLevel="0" collapsed="false">
      <c r="A398" s="6"/>
      <c r="B398" s="4"/>
      <c r="C398" s="7" t="str">
        <f aca="false">IF(A398="","",TEXT(A398,"MMM-YYYY"))</f>
        <v/>
      </c>
      <c r="D398" s="4"/>
    </row>
    <row r="399" customFormat="false" ht="15" hidden="false" customHeight="false" outlineLevel="0" collapsed="false">
      <c r="A399" s="6"/>
      <c r="B399" s="4"/>
      <c r="C399" s="7" t="str">
        <f aca="false">IF(A399="","",TEXT(A399,"MMM-YYYY"))</f>
        <v/>
      </c>
      <c r="D399" s="4"/>
    </row>
    <row r="400" customFormat="false" ht="15" hidden="false" customHeight="false" outlineLevel="0" collapsed="false">
      <c r="A400" s="6"/>
      <c r="B400" s="4"/>
      <c r="C400" s="7" t="str">
        <f aca="false">IF(A400="","",TEXT(A400,"MMM-YYYY"))</f>
        <v/>
      </c>
      <c r="D400" s="4"/>
    </row>
    <row r="401" customFormat="false" ht="15" hidden="false" customHeight="false" outlineLevel="0" collapsed="false">
      <c r="A401" s="6"/>
      <c r="B401" s="4"/>
      <c r="C401" s="7" t="str">
        <f aca="false">IF(A401="","",TEXT(A401,"MMM-YYYY"))</f>
        <v/>
      </c>
      <c r="D401" s="4"/>
    </row>
    <row r="402" customFormat="false" ht="15" hidden="false" customHeight="false" outlineLevel="0" collapsed="false">
      <c r="A402" s="6"/>
      <c r="B402" s="4"/>
      <c r="C402" s="7" t="str">
        <f aca="false">IF(A402="","",TEXT(A402,"MMM-YYYY"))</f>
        <v/>
      </c>
      <c r="D402" s="4"/>
    </row>
    <row r="403" customFormat="false" ht="15" hidden="false" customHeight="false" outlineLevel="0" collapsed="false">
      <c r="A403" s="6"/>
      <c r="B403" s="4"/>
      <c r="C403" s="7" t="str">
        <f aca="false">IF(A403="","",TEXT(A403,"MMM-YYYY"))</f>
        <v/>
      </c>
      <c r="D403" s="4"/>
    </row>
    <row r="404" customFormat="false" ht="15" hidden="false" customHeight="false" outlineLevel="0" collapsed="false">
      <c r="A404" s="6"/>
      <c r="B404" s="4"/>
      <c r="C404" s="7" t="str">
        <f aca="false">IF(A404="","",TEXT(A404,"MMM-YYYY"))</f>
        <v/>
      </c>
      <c r="D404" s="4"/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B5:B404" type="list">
      <formula1>'Employee Master'!$A$5:$A$14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23</v>
      </c>
      <c r="B1" s="1"/>
      <c r="C1" s="1"/>
    </row>
    <row r="2" customFormat="false" ht="15" hidden="false" customHeight="false" outlineLevel="0" collapsed="false">
      <c r="A2" s="2" t="s">
        <v>24</v>
      </c>
      <c r="B2" s="2"/>
      <c r="C2" s="2"/>
    </row>
    <row r="4" customFormat="false" ht="26.85" hidden="false" customHeight="false" outlineLevel="0" collapsed="false">
      <c r="A4" s="3" t="s">
        <v>25</v>
      </c>
      <c r="B4" s="3" t="s">
        <v>2</v>
      </c>
      <c r="C4" s="3" t="s">
        <v>26</v>
      </c>
    </row>
    <row r="5" customFormat="false" ht="15" hidden="false" customHeight="false" outlineLevel="0" collapsed="false">
      <c r="A5" s="4" t="s">
        <v>27</v>
      </c>
      <c r="B5" s="4" t="s">
        <v>6</v>
      </c>
      <c r="C5" s="4" t="n">
        <v>0</v>
      </c>
    </row>
    <row r="6" customFormat="false" ht="15" hidden="false" customHeight="false" outlineLevel="0" collapsed="false">
      <c r="A6" s="4" t="s">
        <v>27</v>
      </c>
      <c r="B6" s="4" t="s">
        <v>7</v>
      </c>
      <c r="C6" s="4" t="n">
        <v>0</v>
      </c>
    </row>
    <row r="7" customFormat="false" ht="15" hidden="false" customHeight="false" outlineLevel="0" collapsed="false">
      <c r="A7" s="4" t="s">
        <v>27</v>
      </c>
      <c r="B7" s="4" t="s">
        <v>8</v>
      </c>
      <c r="C7" s="4" t="n">
        <v>0</v>
      </c>
    </row>
    <row r="8" customFormat="false" ht="15" hidden="false" customHeight="false" outlineLevel="0" collapsed="false">
      <c r="A8" s="4" t="s">
        <v>27</v>
      </c>
      <c r="B8" s="4" t="s">
        <v>9</v>
      </c>
      <c r="C8" s="4" t="n">
        <v>0</v>
      </c>
    </row>
    <row r="9" customFormat="false" ht="15" hidden="false" customHeight="false" outlineLevel="0" collapsed="false">
      <c r="A9" s="4" t="s">
        <v>27</v>
      </c>
      <c r="B9" s="4" t="s">
        <v>10</v>
      </c>
      <c r="C9" s="4" t="n">
        <v>0</v>
      </c>
    </row>
    <row r="10" customFormat="false" ht="15" hidden="false" customHeight="false" outlineLevel="0" collapsed="false">
      <c r="A10" s="4" t="s">
        <v>27</v>
      </c>
      <c r="B10" s="4" t="s">
        <v>11</v>
      </c>
      <c r="C10" s="4" t="n">
        <v>0</v>
      </c>
    </row>
    <row r="11" customFormat="false" ht="15" hidden="false" customHeight="false" outlineLevel="0" collapsed="false">
      <c r="A11" s="4"/>
      <c r="B11" s="4"/>
      <c r="C11" s="4"/>
    </row>
    <row r="12" customFormat="false" ht="15" hidden="false" customHeight="false" outlineLevel="0" collapsed="false">
      <c r="A12" s="4"/>
      <c r="B12" s="4"/>
      <c r="C12" s="4"/>
    </row>
    <row r="13" customFormat="false" ht="15" hidden="false" customHeight="false" outlineLevel="0" collapsed="false">
      <c r="A13" s="4"/>
      <c r="B13" s="4"/>
      <c r="C13" s="4"/>
    </row>
    <row r="14" customFormat="false" ht="15" hidden="false" customHeight="false" outlineLevel="0" collapsed="false">
      <c r="A14" s="4"/>
      <c r="B14" s="4"/>
      <c r="C14" s="4"/>
    </row>
    <row r="15" customFormat="false" ht="15" hidden="false" customHeight="false" outlineLevel="0" collapsed="false">
      <c r="A15" s="4"/>
      <c r="B15" s="4"/>
      <c r="C15" s="4"/>
    </row>
    <row r="16" customFormat="false" ht="15" hidden="false" customHeight="false" outlineLevel="0" collapsed="false">
      <c r="A16" s="4"/>
      <c r="B16" s="4"/>
      <c r="C16" s="4"/>
    </row>
    <row r="17" customFormat="false" ht="15" hidden="false" customHeight="false" outlineLevel="0" collapsed="false">
      <c r="A17" s="4"/>
      <c r="B17" s="4"/>
      <c r="C17" s="4"/>
    </row>
    <row r="18" customFormat="false" ht="15" hidden="false" customHeight="false" outlineLevel="0" collapsed="false">
      <c r="A18" s="4"/>
      <c r="B18" s="4"/>
      <c r="C18" s="4"/>
    </row>
    <row r="19" customFormat="false" ht="15" hidden="false" customHeight="false" outlineLevel="0" collapsed="false">
      <c r="A19" s="4"/>
      <c r="B19" s="4"/>
      <c r="C19" s="4"/>
    </row>
    <row r="20" customFormat="false" ht="15" hidden="false" customHeight="false" outlineLevel="0" collapsed="false">
      <c r="A20" s="4"/>
      <c r="B20" s="4"/>
      <c r="C20" s="4"/>
    </row>
    <row r="21" customFormat="false" ht="15" hidden="false" customHeight="false" outlineLevel="0" collapsed="false">
      <c r="A21" s="4"/>
      <c r="B21" s="4"/>
      <c r="C21" s="4"/>
    </row>
    <row r="22" customFormat="false" ht="15" hidden="false" customHeight="false" outlineLevel="0" collapsed="false">
      <c r="A22" s="4"/>
      <c r="B22" s="4"/>
      <c r="C22" s="4"/>
    </row>
    <row r="23" customFormat="false" ht="15" hidden="false" customHeight="false" outlineLevel="0" collapsed="false">
      <c r="A23" s="4"/>
      <c r="B23" s="4"/>
      <c r="C23" s="4"/>
    </row>
    <row r="24" customFormat="false" ht="15" hidden="false" customHeight="false" outlineLevel="0" collapsed="false">
      <c r="A24" s="4"/>
      <c r="B24" s="4"/>
      <c r="C24" s="4"/>
    </row>
    <row r="25" customFormat="false" ht="15" hidden="false" customHeight="false" outlineLevel="0" collapsed="false">
      <c r="A25" s="4"/>
      <c r="B25" s="4"/>
      <c r="C25" s="4"/>
    </row>
    <row r="26" customFormat="false" ht="15" hidden="false" customHeight="false" outlineLevel="0" collapsed="false">
      <c r="A26" s="4"/>
      <c r="B26" s="4"/>
      <c r="C26" s="4"/>
    </row>
    <row r="27" customFormat="false" ht="15" hidden="false" customHeight="false" outlineLevel="0" collapsed="false">
      <c r="A27" s="4"/>
      <c r="B27" s="4"/>
      <c r="C27" s="4"/>
    </row>
    <row r="28" customFormat="false" ht="15" hidden="false" customHeight="false" outlineLevel="0" collapsed="false">
      <c r="A28" s="4"/>
      <c r="B28" s="4"/>
      <c r="C28" s="4"/>
    </row>
    <row r="29" customFormat="false" ht="15" hidden="false" customHeight="false" outlineLevel="0" collapsed="false">
      <c r="A29" s="4"/>
      <c r="B29" s="4"/>
      <c r="C29" s="4"/>
    </row>
    <row r="30" customFormat="false" ht="15" hidden="false" customHeight="false" outlineLevel="0" collapsed="false">
      <c r="A30" s="4"/>
      <c r="B30" s="4"/>
      <c r="C30" s="4"/>
    </row>
    <row r="31" customFormat="false" ht="15" hidden="false" customHeight="false" outlineLevel="0" collapsed="false">
      <c r="A31" s="4"/>
      <c r="B31" s="4"/>
      <c r="C31" s="4"/>
    </row>
    <row r="32" customFormat="false" ht="15" hidden="false" customHeight="false" outlineLevel="0" collapsed="false">
      <c r="A32" s="4"/>
      <c r="B32" s="4"/>
      <c r="C32" s="4"/>
    </row>
    <row r="33" customFormat="false" ht="15" hidden="false" customHeight="false" outlineLevel="0" collapsed="false">
      <c r="A33" s="4"/>
      <c r="B33" s="4"/>
      <c r="C33" s="4"/>
    </row>
    <row r="34" customFormat="false" ht="15" hidden="false" customHeight="false" outlineLevel="0" collapsed="false">
      <c r="A34" s="4"/>
      <c r="B34" s="4"/>
      <c r="C34" s="4"/>
    </row>
    <row r="35" customFormat="false" ht="15" hidden="false" customHeight="false" outlineLevel="0" collapsed="false">
      <c r="A35" s="4"/>
      <c r="B35" s="4"/>
      <c r="C35" s="4"/>
    </row>
    <row r="36" customFormat="false" ht="15" hidden="false" customHeight="false" outlineLevel="0" collapsed="false">
      <c r="A36" s="4"/>
      <c r="B36" s="4"/>
      <c r="C36" s="4"/>
    </row>
    <row r="37" customFormat="false" ht="15" hidden="false" customHeight="false" outlineLevel="0" collapsed="false">
      <c r="A37" s="4"/>
      <c r="B37" s="4"/>
      <c r="C37" s="4"/>
    </row>
    <row r="38" customFormat="false" ht="15" hidden="false" customHeight="false" outlineLevel="0" collapsed="false">
      <c r="A38" s="4"/>
      <c r="B38" s="4"/>
      <c r="C38" s="4"/>
    </row>
    <row r="39" customFormat="false" ht="15" hidden="false" customHeight="false" outlineLevel="0" collapsed="false">
      <c r="A39" s="4"/>
      <c r="B39" s="4"/>
      <c r="C39" s="4"/>
    </row>
    <row r="40" customFormat="false" ht="15" hidden="false" customHeight="false" outlineLevel="0" collapsed="false">
      <c r="A40" s="4"/>
      <c r="B40" s="4"/>
      <c r="C40" s="4"/>
    </row>
    <row r="41" customFormat="false" ht="15" hidden="false" customHeight="false" outlineLevel="0" collapsed="false">
      <c r="A41" s="4"/>
      <c r="B41" s="4"/>
      <c r="C41" s="4"/>
    </row>
    <row r="42" customFormat="false" ht="15" hidden="false" customHeight="false" outlineLevel="0" collapsed="false">
      <c r="A42" s="4"/>
      <c r="B42" s="4"/>
      <c r="C42" s="4"/>
    </row>
    <row r="43" customFormat="false" ht="15" hidden="false" customHeight="false" outlineLevel="0" collapsed="false">
      <c r="A43" s="4"/>
      <c r="B43" s="4"/>
      <c r="C43" s="4"/>
    </row>
    <row r="44" customFormat="false" ht="15" hidden="false" customHeight="false" outlineLevel="0" collapsed="false">
      <c r="A44" s="4"/>
      <c r="B44" s="4"/>
      <c r="C44" s="4"/>
    </row>
    <row r="45" customFormat="false" ht="15" hidden="false" customHeight="false" outlineLevel="0" collapsed="false">
      <c r="A45" s="4"/>
      <c r="B45" s="4"/>
      <c r="C45" s="4"/>
    </row>
    <row r="46" customFormat="false" ht="15" hidden="false" customHeight="false" outlineLevel="0" collapsed="false">
      <c r="A46" s="4"/>
      <c r="B46" s="4"/>
      <c r="C46" s="4"/>
    </row>
    <row r="47" customFormat="false" ht="15" hidden="false" customHeight="false" outlineLevel="0" collapsed="false">
      <c r="A47" s="4"/>
      <c r="B47" s="4"/>
      <c r="C47" s="4"/>
    </row>
    <row r="48" customFormat="false" ht="15" hidden="false" customHeight="false" outlineLevel="0" collapsed="false">
      <c r="A48" s="4"/>
      <c r="B48" s="4"/>
      <c r="C48" s="4"/>
    </row>
    <row r="49" customFormat="false" ht="15" hidden="false" customHeight="false" outlineLevel="0" collapsed="false">
      <c r="A49" s="4"/>
      <c r="B49" s="4"/>
      <c r="C49" s="4"/>
    </row>
    <row r="50" customFormat="false" ht="15" hidden="false" customHeight="false" outlineLevel="0" collapsed="false">
      <c r="A50" s="4"/>
      <c r="B50" s="4"/>
      <c r="C50" s="4"/>
    </row>
    <row r="51" customFormat="false" ht="15" hidden="false" customHeight="false" outlineLevel="0" collapsed="false">
      <c r="A51" s="4"/>
      <c r="B51" s="4"/>
      <c r="C51" s="4"/>
    </row>
    <row r="52" customFormat="false" ht="15" hidden="false" customHeight="false" outlineLevel="0" collapsed="false">
      <c r="A52" s="4"/>
      <c r="B52" s="4"/>
      <c r="C52" s="4"/>
    </row>
    <row r="53" customFormat="false" ht="15" hidden="false" customHeight="false" outlineLevel="0" collapsed="false">
      <c r="A53" s="4"/>
      <c r="B53" s="4"/>
      <c r="C53" s="4"/>
    </row>
    <row r="54" customFormat="false" ht="15" hidden="false" customHeight="false" outlineLevel="0" collapsed="false">
      <c r="A54" s="4"/>
      <c r="B54" s="4"/>
      <c r="C54" s="4"/>
    </row>
    <row r="55" customFormat="false" ht="15" hidden="false" customHeight="false" outlineLevel="0" collapsed="false">
      <c r="A55" s="4"/>
      <c r="B55" s="4"/>
      <c r="C55" s="4"/>
    </row>
    <row r="56" customFormat="false" ht="15" hidden="false" customHeight="false" outlineLevel="0" collapsed="false">
      <c r="A56" s="4"/>
      <c r="B56" s="4"/>
      <c r="C56" s="4"/>
    </row>
    <row r="57" customFormat="false" ht="15" hidden="false" customHeight="false" outlineLevel="0" collapsed="false">
      <c r="A57" s="4"/>
      <c r="B57" s="4"/>
      <c r="C57" s="4"/>
    </row>
    <row r="58" customFormat="false" ht="15" hidden="false" customHeight="false" outlineLevel="0" collapsed="false">
      <c r="A58" s="4"/>
      <c r="B58" s="4"/>
      <c r="C58" s="4"/>
    </row>
    <row r="59" customFormat="false" ht="15" hidden="false" customHeight="false" outlineLevel="0" collapsed="false">
      <c r="A59" s="4"/>
      <c r="B59" s="4"/>
      <c r="C59" s="4"/>
    </row>
    <row r="60" customFormat="false" ht="15" hidden="false" customHeight="false" outlineLevel="0" collapsed="false">
      <c r="A60" s="4"/>
      <c r="B60" s="4"/>
      <c r="C60" s="4"/>
    </row>
    <row r="61" customFormat="false" ht="15" hidden="false" customHeight="false" outlineLevel="0" collapsed="false">
      <c r="A61" s="4"/>
      <c r="B61" s="4"/>
      <c r="C61" s="4"/>
    </row>
    <row r="62" customFormat="false" ht="15" hidden="false" customHeight="false" outlineLevel="0" collapsed="false">
      <c r="A62" s="4"/>
      <c r="B62" s="4"/>
      <c r="C62" s="4"/>
    </row>
    <row r="63" customFormat="false" ht="15" hidden="false" customHeight="false" outlineLevel="0" collapsed="false">
      <c r="A63" s="4"/>
      <c r="B63" s="4"/>
      <c r="C63" s="4"/>
    </row>
    <row r="64" customFormat="false" ht="15" hidden="false" customHeight="false" outlineLevel="0" collapsed="false">
      <c r="A64" s="4"/>
      <c r="B64" s="4"/>
      <c r="C64" s="4"/>
    </row>
  </sheetData>
  <mergeCells count="2">
    <mergeCell ref="A1:C1"/>
    <mergeCell ref="A2:C2"/>
  </mergeCells>
  <dataValidations count="1">
    <dataValidation allowBlank="true" errorStyle="stop" operator="between" showDropDown="false" showErrorMessage="false" showInputMessage="false" sqref="B5:B64" type="list">
      <formula1>'Employee Master'!$A$5:$A$14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3" min="11" style="0" width="13"/>
  </cols>
  <sheetData>
    <row r="1" customFormat="false" ht="17.35" hidden="false" customHeight="fals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O2" s="8" t="s">
        <v>29</v>
      </c>
    </row>
    <row r="3" customFormat="false" ht="15" hidden="false" customHeight="false" outlineLevel="0" collapsed="false">
      <c r="A3" s="9" t="s">
        <v>30</v>
      </c>
      <c r="B3" s="10" t="s">
        <v>17</v>
      </c>
      <c r="C3" s="8" t="s">
        <v>31</v>
      </c>
      <c r="O3" s="11" t="s">
        <v>32</v>
      </c>
      <c r="P3" s="12" t="n">
        <f aca="false">DATEVALUE("01-"&amp;$B$3)</f>
        <v>46204</v>
      </c>
    </row>
    <row r="4" customFormat="false" ht="15" hidden="false" customHeight="false" outlineLevel="0" collapsed="false">
      <c r="O4" s="11" t="s">
        <v>33</v>
      </c>
      <c r="P4" s="12" t="n">
        <f aca="false">EOMONTH($P$3,0)</f>
        <v>46234</v>
      </c>
    </row>
    <row r="5" customFormat="false" ht="45" hidden="false" customHeight="true" outlineLevel="0" collapsed="false">
      <c r="A5" s="3" t="s">
        <v>2</v>
      </c>
      <c r="B5" s="3" t="s">
        <v>34</v>
      </c>
      <c r="C5" s="3" t="s">
        <v>4</v>
      </c>
      <c r="D5" s="3" t="s">
        <v>16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  <c r="L5" s="3" t="s">
        <v>42</v>
      </c>
      <c r="M5" s="3" t="s">
        <v>43</v>
      </c>
      <c r="O5" s="11" t="s">
        <v>44</v>
      </c>
      <c r="P5" s="12" t="n">
        <f aca="false">IF(MONTH($P$3)&gt;=4,DATE(YEAR($P$3),4,1),DATE(YEAR($P$3)-1,4,1))</f>
        <v>46113</v>
      </c>
    </row>
    <row r="6" customFormat="false" ht="15" hidden="false" customHeight="false" outlineLevel="0" collapsed="false">
      <c r="A6" s="13" t="str">
        <f aca="false">'Employee Master'!A5</f>
        <v>Samir Das</v>
      </c>
      <c r="B6" s="14" t="n">
        <f aca="false">IF($A6="","",'Employee Master'!B5)</f>
        <v>12000</v>
      </c>
      <c r="C6" s="14" t="n">
        <f aca="false">IF($A6="","",'Employee Master'!C5)</f>
        <v>525</v>
      </c>
      <c r="D6" s="7" t="n">
        <f aca="false">IF($A6="","",IFERROR(VLOOKUP($B$3,'Monthly Working Days'!$A$5:$B$24,2,0),""))</f>
        <v>26</v>
      </c>
      <c r="E6" s="7" t="n">
        <f aca="false">IF($A6="","",COUNTIFS('Attendance Log'!$B$5:$B$404,$A6,'Attendance Log'!$C$5:$C$404,$B$3))</f>
        <v>0</v>
      </c>
      <c r="F6" s="7" t="n">
        <f aca="false">IF($A6="","",D6-E6)</f>
        <v>26</v>
      </c>
      <c r="G6" s="15" t="n">
        <f aca="false">IF($A6="","",C6*F6)</f>
        <v>13650</v>
      </c>
      <c r="H6" s="7" t="n">
        <f aca="false">IF($A6="","",COUNTIFS('Attendance Log'!$A$5:$A$404,"&gt;="&amp;$P$5,'Attendance Log'!$A$5:$A$404,"&lt;="&amp;$P$6,'Attendance Log'!$B$5:$B$404,$A6)+IFERROR(SUMIFS('FY Opening Leaves'!$C:$C,'FY Opening Leaves'!$A:$A,$P$7,'FY Opening Leaves'!$B:$B,$A6),0))</f>
        <v>0</v>
      </c>
      <c r="I6" s="7" t="n">
        <f aca="false">IF($A6="","",H6+E6)</f>
        <v>0</v>
      </c>
      <c r="J6" s="7" t="n">
        <f aca="false">IF($A6="","",MAX(0,I6-30)-MAX(0,H6-30))</f>
        <v>0</v>
      </c>
      <c r="K6" s="15" t="n">
        <f aca="false">IF($A6="","",IFERROR(J6*(B6/D6),0))</f>
        <v>0</v>
      </c>
      <c r="L6" s="15" t="n">
        <f aca="false">IF($A6="","",B6-K6)</f>
        <v>12000</v>
      </c>
      <c r="M6" s="15" t="n">
        <f aca="false">IF($A6="","",L6+G6)</f>
        <v>25650</v>
      </c>
      <c r="O6" s="11" t="s">
        <v>45</v>
      </c>
      <c r="P6" s="12" t="n">
        <f aca="false">$P$3-1</f>
        <v>46203</v>
      </c>
    </row>
    <row r="7" customFormat="false" ht="15" hidden="false" customHeight="false" outlineLevel="0" collapsed="false">
      <c r="A7" s="13" t="str">
        <f aca="false">'Employee Master'!A6</f>
        <v>Sujit Das</v>
      </c>
      <c r="B7" s="14" t="n">
        <f aca="false">IF($A7="","",'Employee Master'!B6)</f>
        <v>7000</v>
      </c>
      <c r="C7" s="14" t="n">
        <f aca="false">IF($A7="","",'Employee Master'!C6)</f>
        <v>255</v>
      </c>
      <c r="D7" s="7" t="n">
        <f aca="false">IF($A7="","",IFERROR(VLOOKUP($B$3,'Monthly Working Days'!$A$5:$B$24,2,0),""))</f>
        <v>26</v>
      </c>
      <c r="E7" s="7" t="n">
        <f aca="false">IF($A7="","",COUNTIFS('Attendance Log'!$B$5:$B$404,$A7,'Attendance Log'!$C$5:$C$404,$B$3))</f>
        <v>0</v>
      </c>
      <c r="F7" s="7" t="n">
        <f aca="false">IF($A7="","",D7-E7)</f>
        <v>26</v>
      </c>
      <c r="G7" s="15" t="n">
        <f aca="false">IF($A7="","",C7*F7)</f>
        <v>6630</v>
      </c>
      <c r="H7" s="7" t="n">
        <f aca="false">IF($A7="","",COUNTIFS('Attendance Log'!$A$5:$A$404,"&gt;="&amp;$P$5,'Attendance Log'!$A$5:$A$404,"&lt;="&amp;$P$6,'Attendance Log'!$B$5:$B$404,$A7)+IFERROR(SUMIFS('FY Opening Leaves'!$C:$C,'FY Opening Leaves'!$A:$A,$P$7,'FY Opening Leaves'!$B:$B,$A7),0))</f>
        <v>0</v>
      </c>
      <c r="I7" s="7" t="n">
        <f aca="false">IF($A7="","",H7+E7)</f>
        <v>0</v>
      </c>
      <c r="J7" s="7" t="n">
        <f aca="false">IF($A7="","",MAX(0,I7-30)-MAX(0,H7-30))</f>
        <v>0</v>
      </c>
      <c r="K7" s="15" t="n">
        <f aca="false">IF($A7="","",IFERROR(J7*(B7/D7),0))</f>
        <v>0</v>
      </c>
      <c r="L7" s="15" t="n">
        <f aca="false">IF($A7="","",B7-K7)</f>
        <v>7000</v>
      </c>
      <c r="M7" s="15" t="n">
        <f aca="false">IF($A7="","",L7+G7)</f>
        <v>13630</v>
      </c>
      <c r="O7" s="11" t="s">
        <v>25</v>
      </c>
      <c r="P7" s="16" t="str">
        <f aca="false">"FY"&amp;YEAR($P$5)</f>
        <v>FY2026</v>
      </c>
    </row>
    <row r="8" customFormat="false" ht="15" hidden="false" customHeight="false" outlineLevel="0" collapsed="false">
      <c r="A8" s="13" t="str">
        <f aca="false">'Employee Master'!A7</f>
        <v>Bishnu Das</v>
      </c>
      <c r="B8" s="14" t="n">
        <f aca="false">IF($A8="","",'Employee Master'!B7)</f>
        <v>5000</v>
      </c>
      <c r="C8" s="14" t="n">
        <f aca="false">IF($A8="","",'Employee Master'!C7)</f>
        <v>250</v>
      </c>
      <c r="D8" s="7" t="n">
        <f aca="false">IF($A8="","",IFERROR(VLOOKUP($B$3,'Monthly Working Days'!$A$5:$B$24,2,0),""))</f>
        <v>26</v>
      </c>
      <c r="E8" s="7" t="n">
        <f aca="false">IF($A8="","",COUNTIFS('Attendance Log'!$B$5:$B$404,$A8,'Attendance Log'!$C$5:$C$404,$B$3))</f>
        <v>0</v>
      </c>
      <c r="F8" s="7" t="n">
        <f aca="false">IF($A8="","",D8-E8)</f>
        <v>26</v>
      </c>
      <c r="G8" s="15" t="n">
        <f aca="false">IF($A8="","",C8*F8)</f>
        <v>6500</v>
      </c>
      <c r="H8" s="7" t="n">
        <f aca="false">IF($A8="","",COUNTIFS('Attendance Log'!$A$5:$A$404,"&gt;="&amp;$P$5,'Attendance Log'!$A$5:$A$404,"&lt;="&amp;$P$6,'Attendance Log'!$B$5:$B$404,$A8)+IFERROR(SUMIFS('FY Opening Leaves'!$C:$C,'FY Opening Leaves'!$A:$A,$P$7,'FY Opening Leaves'!$B:$B,$A8),0))</f>
        <v>0</v>
      </c>
      <c r="I8" s="7" t="n">
        <f aca="false">IF($A8="","",H8+E8)</f>
        <v>0</v>
      </c>
      <c r="J8" s="7" t="n">
        <f aca="false">IF($A8="","",MAX(0,I8-30)-MAX(0,H8-30))</f>
        <v>0</v>
      </c>
      <c r="K8" s="15" t="n">
        <f aca="false">IF($A8="","",IFERROR(J8*(B8/D8),0))</f>
        <v>0</v>
      </c>
      <c r="L8" s="15" t="n">
        <f aca="false">IF($A8="","",B8-K8)</f>
        <v>5000</v>
      </c>
      <c r="M8" s="15" t="n">
        <f aca="false">IF($A8="","",L8+G8)</f>
        <v>11500</v>
      </c>
    </row>
    <row r="9" customFormat="false" ht="15" hidden="false" customHeight="false" outlineLevel="0" collapsed="false">
      <c r="A9" s="13" t="str">
        <f aca="false">'Employee Master'!A8</f>
        <v>Soumen Roy</v>
      </c>
      <c r="B9" s="14" t="n">
        <f aca="false">IF($A9="","",'Employee Master'!B8)</f>
        <v>6000</v>
      </c>
      <c r="C9" s="14" t="n">
        <f aca="false">IF($A9="","",'Employee Master'!C8)</f>
        <v>270</v>
      </c>
      <c r="D9" s="7" t="n">
        <f aca="false">IF($A9="","",IFERROR(VLOOKUP($B$3,'Monthly Working Days'!$A$5:$B$24,2,0),""))</f>
        <v>26</v>
      </c>
      <c r="E9" s="7" t="n">
        <f aca="false">IF($A9="","",COUNTIFS('Attendance Log'!$B$5:$B$404,$A9,'Attendance Log'!$C$5:$C$404,$B$3))</f>
        <v>0</v>
      </c>
      <c r="F9" s="7" t="n">
        <f aca="false">IF($A9="","",D9-E9)</f>
        <v>26</v>
      </c>
      <c r="G9" s="15" t="n">
        <f aca="false">IF($A9="","",C9*F9)</f>
        <v>7020</v>
      </c>
      <c r="H9" s="7" t="n">
        <f aca="false">IF($A9="","",COUNTIFS('Attendance Log'!$A$5:$A$404,"&gt;="&amp;$P$5,'Attendance Log'!$A$5:$A$404,"&lt;="&amp;$P$6,'Attendance Log'!$B$5:$B$404,$A9)+IFERROR(SUMIFS('FY Opening Leaves'!$C:$C,'FY Opening Leaves'!$A:$A,$P$7,'FY Opening Leaves'!$B:$B,$A9),0))</f>
        <v>0</v>
      </c>
      <c r="I9" s="7" t="n">
        <f aca="false">IF($A9="","",H9+E9)</f>
        <v>0</v>
      </c>
      <c r="J9" s="7" t="n">
        <f aca="false">IF($A9="","",MAX(0,I9-30)-MAX(0,H9-30))</f>
        <v>0</v>
      </c>
      <c r="K9" s="15" t="n">
        <f aca="false">IF($A9="","",IFERROR(J9*(B9/D9),0))</f>
        <v>0</v>
      </c>
      <c r="L9" s="15" t="n">
        <f aca="false">IF($A9="","",B9-K9)</f>
        <v>6000</v>
      </c>
      <c r="M9" s="15" t="n">
        <f aca="false">IF($A9="","",L9+G9)</f>
        <v>13020</v>
      </c>
    </row>
    <row r="10" customFormat="false" ht="15" hidden="false" customHeight="false" outlineLevel="0" collapsed="false">
      <c r="A10" s="13" t="str">
        <f aca="false">'Employee Master'!A9</f>
        <v>Mangal Bannerjee</v>
      </c>
      <c r="B10" s="14" t="n">
        <f aca="false">IF($A10="","",'Employee Master'!B9)</f>
        <v>5000</v>
      </c>
      <c r="C10" s="14" t="n">
        <f aca="false">IF($A10="","",'Employee Master'!C9)</f>
        <v>215</v>
      </c>
      <c r="D10" s="7" t="n">
        <f aca="false">IF($A10="","",IFERROR(VLOOKUP($B$3,'Monthly Working Days'!$A$5:$B$24,2,0),""))</f>
        <v>26</v>
      </c>
      <c r="E10" s="7" t="n">
        <f aca="false">IF($A10="","",COUNTIFS('Attendance Log'!$B$5:$B$404,$A10,'Attendance Log'!$C$5:$C$404,$B$3))</f>
        <v>0</v>
      </c>
      <c r="F10" s="7" t="n">
        <f aca="false">IF($A10="","",D10-E10)</f>
        <v>26</v>
      </c>
      <c r="G10" s="15" t="n">
        <f aca="false">IF($A10="","",C10*F10)</f>
        <v>5590</v>
      </c>
      <c r="H10" s="7" t="n">
        <f aca="false">IF($A10="","",COUNTIFS('Attendance Log'!$A$5:$A$404,"&gt;="&amp;$P$5,'Attendance Log'!$A$5:$A$404,"&lt;="&amp;$P$6,'Attendance Log'!$B$5:$B$404,$A10)+IFERROR(SUMIFS('FY Opening Leaves'!$C:$C,'FY Opening Leaves'!$A:$A,$P$7,'FY Opening Leaves'!$B:$B,$A10),0))</f>
        <v>0</v>
      </c>
      <c r="I10" s="7" t="n">
        <f aca="false">IF($A10="","",H10+E10)</f>
        <v>0</v>
      </c>
      <c r="J10" s="7" t="n">
        <f aca="false">IF($A10="","",MAX(0,I10-30)-MAX(0,H10-30))</f>
        <v>0</v>
      </c>
      <c r="K10" s="15" t="n">
        <f aca="false">IF($A10="","",IFERROR(J10*(B10/D10),0))</f>
        <v>0</v>
      </c>
      <c r="L10" s="15" t="n">
        <f aca="false">IF($A10="","",B10-K10)</f>
        <v>5000</v>
      </c>
      <c r="M10" s="15" t="n">
        <f aca="false">IF($A10="","",L10+G10)</f>
        <v>10590</v>
      </c>
    </row>
    <row r="11" customFormat="false" ht="15" hidden="false" customHeight="false" outlineLevel="0" collapsed="false">
      <c r="A11" s="13" t="str">
        <f aca="false">'Employee Master'!A10</f>
        <v>Partha Das</v>
      </c>
      <c r="B11" s="14" t="n">
        <f aca="false">IF($A11="","",'Employee Master'!B10)</f>
        <v>0</v>
      </c>
      <c r="C11" s="14" t="n">
        <f aca="false">IF($A11="","",'Employee Master'!C10)</f>
        <v>0</v>
      </c>
      <c r="D11" s="7" t="n">
        <f aca="false">IF($A11="","",IFERROR(VLOOKUP($B$3,'Monthly Working Days'!$A$5:$B$24,2,0),""))</f>
        <v>26</v>
      </c>
      <c r="E11" s="7" t="n">
        <f aca="false">IF($A11="","",COUNTIFS('Attendance Log'!$B$5:$B$404,$A11,'Attendance Log'!$C$5:$C$404,$B$3))</f>
        <v>0</v>
      </c>
      <c r="F11" s="7" t="n">
        <f aca="false">IF($A11="","",D11-E11)</f>
        <v>26</v>
      </c>
      <c r="G11" s="15" t="n">
        <f aca="false">IF($A11="","",C11*F11)</f>
        <v>0</v>
      </c>
      <c r="H11" s="7" t="n">
        <f aca="false">IF($A11="","",COUNTIFS('Attendance Log'!$A$5:$A$404,"&gt;="&amp;$P$5,'Attendance Log'!$A$5:$A$404,"&lt;="&amp;$P$6,'Attendance Log'!$B$5:$B$404,$A11)+IFERROR(SUMIFS('FY Opening Leaves'!$C:$C,'FY Opening Leaves'!$A:$A,$P$7,'FY Opening Leaves'!$B:$B,$A11),0))</f>
        <v>0</v>
      </c>
      <c r="I11" s="7" t="n">
        <f aca="false">IF($A11="","",H11+E11)</f>
        <v>0</v>
      </c>
      <c r="J11" s="7" t="n">
        <f aca="false">IF($A11="","",MAX(0,I11-30)-MAX(0,H11-30))</f>
        <v>0</v>
      </c>
      <c r="K11" s="15" t="n">
        <f aca="false">IF($A11="","",IFERROR(J11*(B11/D11),0))</f>
        <v>0</v>
      </c>
      <c r="L11" s="15" t="n">
        <f aca="false">IF($A11="","",B11-K11)</f>
        <v>0</v>
      </c>
      <c r="M11" s="15" t="n">
        <f aca="false">IF($A11="","",L11+G11)</f>
        <v>0</v>
      </c>
    </row>
    <row r="12" customFormat="false" ht="15" hidden="false" customHeight="false" outlineLevel="0" collapsed="false">
      <c r="A12" s="13" t="n">
        <f aca="false">'Employee Master'!A11</f>
        <v>0</v>
      </c>
      <c r="B12" s="14" t="str">
        <f aca="false">IF($A12="","",'Employee Master'!B11)</f>
        <v/>
      </c>
      <c r="C12" s="14" t="str">
        <f aca="false">IF($A12="","",'Employee Master'!C11)</f>
        <v/>
      </c>
      <c r="D12" s="7" t="str">
        <f aca="false">IF($A12="","",IFERROR(VLOOKUP($B$3,'Monthly Working Days'!$A$5:$B$24,2,0),""))</f>
        <v/>
      </c>
      <c r="E12" s="7" t="str">
        <f aca="false">IF($A12="","",COUNTIFS('Attendance Log'!$B$5:$B$404,$A12,'Attendance Log'!$C$5:$C$404,$B$3))</f>
        <v/>
      </c>
      <c r="F12" s="7" t="str">
        <f aca="false">IF($A12="","",D12-E12)</f>
        <v/>
      </c>
      <c r="G12" s="15" t="str">
        <f aca="false">IF($A12="","",C12*F12)</f>
        <v/>
      </c>
      <c r="H12" s="7" t="str">
        <f aca="false">IF($A12="","",COUNTIFS('Attendance Log'!$A$5:$A$404,"&gt;="&amp;$P$5,'Attendance Log'!$A$5:$A$404,"&lt;="&amp;$P$6,'Attendance Log'!$B$5:$B$404,$A12)+IFERROR(SUMIFS('FY Opening Leaves'!$C:$C,'FY Opening Leaves'!$A:$A,$P$7,'FY Opening Leaves'!$B:$B,$A12),0))</f>
        <v/>
      </c>
      <c r="I12" s="7" t="str">
        <f aca="false">IF($A12="","",H12+E12)</f>
        <v/>
      </c>
      <c r="J12" s="7" t="str">
        <f aca="false">IF($A12="","",MAX(0,I12-30)-MAX(0,H12-30))</f>
        <v/>
      </c>
      <c r="K12" s="15" t="str">
        <f aca="false">IF($A12="","",IFERROR(J12*(B12/D12),0))</f>
        <v/>
      </c>
      <c r="L12" s="15" t="str">
        <f aca="false">IF($A12="","",B12-K12)</f>
        <v/>
      </c>
      <c r="M12" s="15" t="str">
        <f aca="false">IF($A12="","",L12+G12)</f>
        <v/>
      </c>
    </row>
    <row r="13" customFormat="false" ht="15" hidden="false" customHeight="false" outlineLevel="0" collapsed="false">
      <c r="A13" s="13" t="n">
        <f aca="false">'Employee Master'!A12</f>
        <v>0</v>
      </c>
      <c r="B13" s="14" t="str">
        <f aca="false">IF($A13="","",'Employee Master'!B12)</f>
        <v/>
      </c>
      <c r="C13" s="14" t="str">
        <f aca="false">IF($A13="","",'Employee Master'!C12)</f>
        <v/>
      </c>
      <c r="D13" s="7" t="str">
        <f aca="false">IF($A13="","",IFERROR(VLOOKUP($B$3,'Monthly Working Days'!$A$5:$B$24,2,0),""))</f>
        <v/>
      </c>
      <c r="E13" s="7" t="str">
        <f aca="false">IF($A13="","",COUNTIFS('Attendance Log'!$B$5:$B$404,$A13,'Attendance Log'!$C$5:$C$404,$B$3))</f>
        <v/>
      </c>
      <c r="F13" s="7" t="str">
        <f aca="false">IF($A13="","",D13-E13)</f>
        <v/>
      </c>
      <c r="G13" s="15" t="str">
        <f aca="false">IF($A13="","",C13*F13)</f>
        <v/>
      </c>
      <c r="H13" s="7" t="str">
        <f aca="false">IF($A13="","",COUNTIFS('Attendance Log'!$A$5:$A$404,"&gt;="&amp;$P$5,'Attendance Log'!$A$5:$A$404,"&lt;="&amp;$P$6,'Attendance Log'!$B$5:$B$404,$A13)+IFERROR(SUMIFS('FY Opening Leaves'!$C:$C,'FY Opening Leaves'!$A:$A,$P$7,'FY Opening Leaves'!$B:$B,$A13),0))</f>
        <v/>
      </c>
      <c r="I13" s="7" t="str">
        <f aca="false">IF($A13="","",H13+E13)</f>
        <v/>
      </c>
      <c r="J13" s="7" t="str">
        <f aca="false">IF($A13="","",MAX(0,I13-30)-MAX(0,H13-30))</f>
        <v/>
      </c>
      <c r="K13" s="15" t="str">
        <f aca="false">IF($A13="","",IFERROR(J13*(B13/D13),0))</f>
        <v/>
      </c>
      <c r="L13" s="15" t="str">
        <f aca="false">IF($A13="","",B13-K13)</f>
        <v/>
      </c>
      <c r="M13" s="15" t="str">
        <f aca="false">IF($A13="","",L13+G13)</f>
        <v/>
      </c>
    </row>
    <row r="14" customFormat="false" ht="15" hidden="false" customHeight="false" outlineLevel="0" collapsed="false">
      <c r="A14" s="13" t="n">
        <f aca="false">'Employee Master'!A13</f>
        <v>0</v>
      </c>
      <c r="B14" s="14" t="str">
        <f aca="false">IF($A14="","",'Employee Master'!B13)</f>
        <v/>
      </c>
      <c r="C14" s="14" t="str">
        <f aca="false">IF($A14="","",'Employee Master'!C13)</f>
        <v/>
      </c>
      <c r="D14" s="7" t="str">
        <f aca="false">IF($A14="","",IFERROR(VLOOKUP($B$3,'Monthly Working Days'!$A$5:$B$24,2,0),""))</f>
        <v/>
      </c>
      <c r="E14" s="7" t="str">
        <f aca="false">IF($A14="","",COUNTIFS('Attendance Log'!$B$5:$B$404,$A14,'Attendance Log'!$C$5:$C$404,$B$3))</f>
        <v/>
      </c>
      <c r="F14" s="7" t="str">
        <f aca="false">IF($A14="","",D14-E14)</f>
        <v/>
      </c>
      <c r="G14" s="15" t="str">
        <f aca="false">IF($A14="","",C14*F14)</f>
        <v/>
      </c>
      <c r="H14" s="7" t="str">
        <f aca="false">IF($A14="","",COUNTIFS('Attendance Log'!$A$5:$A$404,"&gt;="&amp;$P$5,'Attendance Log'!$A$5:$A$404,"&lt;="&amp;$P$6,'Attendance Log'!$B$5:$B$404,$A14)+IFERROR(SUMIFS('FY Opening Leaves'!$C:$C,'FY Opening Leaves'!$A:$A,$P$7,'FY Opening Leaves'!$B:$B,$A14),0))</f>
        <v/>
      </c>
      <c r="I14" s="7" t="str">
        <f aca="false">IF($A14="","",H14+E14)</f>
        <v/>
      </c>
      <c r="J14" s="7" t="str">
        <f aca="false">IF($A14="","",MAX(0,I14-30)-MAX(0,H14-30))</f>
        <v/>
      </c>
      <c r="K14" s="15" t="str">
        <f aca="false">IF($A14="","",IFERROR(J14*(B14/D14),0))</f>
        <v/>
      </c>
      <c r="L14" s="15" t="str">
        <f aca="false">IF($A14="","",B14-K14)</f>
        <v/>
      </c>
      <c r="M14" s="15" t="str">
        <f aca="false">IF($A14="","",L14+G14)</f>
        <v/>
      </c>
    </row>
    <row r="15" customFormat="false" ht="15" hidden="false" customHeight="false" outlineLevel="0" collapsed="false">
      <c r="A15" s="13" t="n">
        <f aca="false">'Employee Master'!A14</f>
        <v>0</v>
      </c>
      <c r="B15" s="14" t="str">
        <f aca="false">IF($A15="","",'Employee Master'!B14)</f>
        <v/>
      </c>
      <c r="C15" s="14" t="str">
        <f aca="false">IF($A15="","",'Employee Master'!C14)</f>
        <v/>
      </c>
      <c r="D15" s="7" t="str">
        <f aca="false">IF($A15="","",IFERROR(VLOOKUP($B$3,'Monthly Working Days'!$A$5:$B$24,2,0),""))</f>
        <v/>
      </c>
      <c r="E15" s="7" t="str">
        <f aca="false">IF($A15="","",COUNTIFS('Attendance Log'!$B$5:$B$404,$A15,'Attendance Log'!$C$5:$C$404,$B$3))</f>
        <v/>
      </c>
      <c r="F15" s="7" t="str">
        <f aca="false">IF($A15="","",D15-E15)</f>
        <v/>
      </c>
      <c r="G15" s="15" t="str">
        <f aca="false">IF($A15="","",C15*F15)</f>
        <v/>
      </c>
      <c r="H15" s="7" t="str">
        <f aca="false">IF($A15="","",COUNTIFS('Attendance Log'!$A$5:$A$404,"&gt;="&amp;$P$5,'Attendance Log'!$A$5:$A$404,"&lt;="&amp;$P$6,'Attendance Log'!$B$5:$B$404,$A15)+IFERROR(SUMIFS('FY Opening Leaves'!$C:$C,'FY Opening Leaves'!$A:$A,$P$7,'FY Opening Leaves'!$B:$B,$A15),0))</f>
        <v/>
      </c>
      <c r="I15" s="7" t="str">
        <f aca="false">IF($A15="","",H15+E15)</f>
        <v/>
      </c>
      <c r="J15" s="7" t="str">
        <f aca="false">IF($A15="","",MAX(0,I15-30)-MAX(0,H15-30))</f>
        <v/>
      </c>
      <c r="K15" s="15" t="str">
        <f aca="false">IF($A15="","",IFERROR(J15*(B15/D15),0))</f>
        <v/>
      </c>
      <c r="L15" s="15" t="str">
        <f aca="false">IF($A15="","",B15-K15)</f>
        <v/>
      </c>
      <c r="M15" s="15" t="str">
        <f aca="false">IF($A15="","",L15+G15)</f>
        <v/>
      </c>
    </row>
    <row r="16" customFormat="false" ht="15" hidden="false" customHeight="false" outlineLevel="0" collapsed="false">
      <c r="A16" s="17" t="s">
        <v>46</v>
      </c>
      <c r="B16" s="18"/>
      <c r="C16" s="18"/>
      <c r="D16" s="18"/>
      <c r="E16" s="18"/>
      <c r="F16" s="18"/>
      <c r="G16" s="18"/>
      <c r="H16" s="18"/>
      <c r="I16" s="18"/>
      <c r="J16" s="18"/>
      <c r="K16" s="19" t="n">
        <f aca="false">SUM(K6:K15)</f>
        <v>0</v>
      </c>
      <c r="L16" s="18"/>
      <c r="M16" s="19" t="n">
        <f aca="false">SUM(M6:M15)</f>
        <v>74390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2026-07-01T15:19:36Z</dcterms:created>
  <dc:creator>openpyxl</dc:creator>
  <dc:description/>
  <dc:language>en-US</dc:language>
  <cp:lastModifiedBy/>
  <dcterms:modified xsi:type="dcterms:W3CDTF">2026-07-01T15:19:36Z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